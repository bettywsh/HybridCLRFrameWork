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xl/comments17.xml" ContentType="application/vnd.openxmlformats-officedocument.spreadsheetml.comments+xml"/>
  <Override PartName="/xl/comments18.xml" ContentType="application/vnd.openxmlformats-officedocument.spreadsheetml.comments+xml"/>
  <Override PartName="/xl/comments19.xml" ContentType="application/vnd.openxmlformats-officedocument.spreadsheetml.comments+xml"/>
  <Override PartName="/xl/comments20.xml" ContentType="application/vnd.openxmlformats-officedocument.spreadsheetml.comments+xml"/>
  <Override PartName="/xl/comments21.xml" ContentType="application/vnd.openxmlformats-officedocument.spreadsheetml.comments+xml"/>
  <Override PartName="/xl/comments22.xml" ContentType="application/vnd.openxmlformats-officedocument.spreadsheetml.comments+xml"/>
  <Override PartName="/xl/comments23.xml" ContentType="application/vnd.openxmlformats-officedocument.spreadsheetml.comments+xml"/>
  <Override PartName="/xl/comments24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/>
  <mc:AlternateContent xmlns:mc="http://schemas.openxmlformats.org/markup-compatibility/2006">
    <mc:Choice Requires="x15">
      <x15ac:absPath xmlns:x15ac="http://schemas.microsoft.com/office/spreadsheetml/2010/11/ac" url="E:\xmm\ToolZhanche\excel\Datas\"/>
    </mc:Choice>
  </mc:AlternateContent>
  <xr:revisionPtr revIDLastSave="0" documentId="13_ncr:1_{84895D06-E435-438E-87B3-B22EAF01DB13}" xr6:coauthVersionLast="47" xr6:coauthVersionMax="47" xr10:uidLastSave="{00000000-0000-0000-0000-000000000000}"/>
  <bookViews>
    <workbookView xWindow="4860" yWindow="2100" windowWidth="21600" windowHeight="11385" tabRatio="650" firstSheet="5" activeTab="9" xr2:uid="{00000000-000D-0000-FFFF-FFFF00000000}"/>
  </bookViews>
  <sheets>
    <sheet name="Vip" sheetId="1" r:id="rId1"/>
    <sheet name="Turntable" sheetId="2" r:id="rId2"/>
    <sheet name="Talent" sheetId="3" r:id="rId3"/>
    <sheet name="TalentSkill" sheetId="19" r:id="rId4"/>
    <sheet name="Shop" sheetId="4" r:id="rId5"/>
    <sheet name="Session" sheetId="5" r:id="rId6"/>
    <sheet name="PushFunctionalitySetting" sheetId="6" r:id="rId7"/>
    <sheet name="PerDayGiftPack" sheetId="7" r:id="rId8"/>
    <sheet name="Level" sheetId="8" r:id="rId9"/>
    <sheet name="Items" sheetId="9" r:id="rId10"/>
    <sheet name="Hero" sheetId="10" r:id="rId11"/>
    <sheet name="FirstReward" sheetId="11" r:id="rId12"/>
    <sheet name="Extra" sheetId="12" r:id="rId13"/>
    <sheet name="EquipmentLevel" sheetId="13" r:id="rId14"/>
    <sheet name="EndlessMode" sheetId="14" r:id="rId15"/>
    <sheet name="DailyLogin" sheetId="15" r:id="rId16"/>
    <sheet name="DailyCheckIn" sheetId="16" r:id="rId17"/>
    <sheet name="Task" sheetId="18" r:id="rId18"/>
    <sheet name="MonthlyPass" sheetId="20" r:id="rId19"/>
    <sheet name="LevelMode" sheetId="21" r:id="rId20"/>
    <sheet name="Matrix" sheetId="22" r:id="rId21"/>
    <sheet name="Correct" sheetId="23" r:id="rId22"/>
    <sheet name="Juhuasuan" sheetId="24" r:id="rId23"/>
    <sheet name="HighlyProfitable" sheetId="25" r:id="rId24"/>
    <sheet name="ActiveTask" sheetId="26" r:id="rId25"/>
    <sheet name="FormationPack" sheetId="27" r:id="rId26"/>
    <sheet name="MagicCircle" sheetId="28" r:id="rId27"/>
    <sheet name="LevelMissions" sheetId="29" r:id="rId28"/>
    <sheet name="StarterPack" sheetId="30" r:id="rId29"/>
    <sheet name="Serername" sheetId="31" r:id="rId30"/>
    <sheet name="Session2" sheetId="32" r:id="rId31"/>
    <sheet name="Session3" sheetId="40" r:id="rId32"/>
    <sheet name="RechargeGoodsInfo" sheetId="34" r:id="rId33"/>
    <sheet name="InventoryBuff" sheetId="35" r:id="rId34"/>
    <sheet name="EnhancementPacks" sheetId="36" r:id="rId35"/>
    <sheet name="Leaderboard" sheetId="37" r:id="rId36"/>
    <sheet name="HeroHead" sheetId="38" r:id="rId37"/>
    <sheet name="FortunePack" sheetId="39" r:id="rId38"/>
    <sheet name="BehavioralStatistics" sheetId="41" r:id="rId39"/>
    <sheet name="RechargeBuff" sheetId="42" r:id="rId40"/>
    <sheet name="Random" sheetId="43" r:id="rId41"/>
    <sheet name="Beginner" sheetId="44" r:id="rId42"/>
    <sheet name="RechargeLimit" sheetId="45" r:id="rId43"/>
    <sheet name="VipGift" sheetId="46" r:id="rId44"/>
    <sheet name="Materidl" sheetId="47" r:id="rId45"/>
    <sheet name="BossReward" sheetId="48" r:id="rId46"/>
    <sheet name="DragonTreasure" sheetId="49" r:id="rId47"/>
    <sheet name="Accumulation" sheetId="50" r:id="rId48"/>
    <sheet name="PinnacleList" sheetId="51" r:id="rId49"/>
    <sheet name="CoPurPacks" sheetId="52" r:id="rId50"/>
    <sheet name="ExchangeMissions" sheetId="53" r:id="rId51"/>
    <sheet name="EggRewards" sheetId="54" r:id="rId52"/>
    <sheet name="EggPrice" sheetId="55" r:id="rId53"/>
    <sheet name="LuckyDrawing" sheetId="56" r:id="rId54"/>
    <sheet name="BountyRanking" sheetId="57" r:id="rId55"/>
    <sheet name="ZeroDollarPurchase" sheetId="58" r:id="rId56"/>
    <sheet name="MhGift" sheetId="59" r:id="rId57"/>
    <sheet name="MhPrize" sheetId="60" r:id="rId58"/>
    <sheet name="Mhlist" sheetId="61" r:id="rId59"/>
    <sheet name="Exterminate" sheetId="62" r:id="rId60"/>
    <sheet name="GreatGift" sheetId="63" r:id="rId61"/>
    <sheet name="GreatGiftProbability" sheetId="64" r:id="rId62"/>
    <sheet name="PiggyBank" sheetId="65" r:id="rId63"/>
    <sheet name="Zptask" sheetId="66" r:id="rId64"/>
    <sheet name="Zpgift" sheetId="67" r:id="rId65"/>
    <sheet name="Zpreward" sheetId="68" r:id="rId66"/>
    <sheet name="Tank" sheetId="69" r:id="rId6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H9" i="69" l="1"/>
  <c r="H10" i="69" s="1"/>
  <c r="H8" i="69"/>
  <c r="K10" i="68"/>
  <c r="K7" i="68"/>
  <c r="K6" i="68"/>
  <c r="E11" i="67"/>
  <c r="E10" i="67"/>
  <c r="E9" i="67"/>
  <c r="E8" i="67"/>
  <c r="E7" i="67"/>
  <c r="E6" i="67"/>
  <c r="G8" i="65"/>
  <c r="F33" i="63"/>
  <c r="F32" i="63"/>
  <c r="F31" i="63"/>
  <c r="F30" i="63"/>
  <c r="F29" i="63"/>
  <c r="F28" i="63"/>
  <c r="F27" i="63"/>
  <c r="F26" i="63"/>
  <c r="F25" i="63"/>
  <c r="F24" i="63"/>
  <c r="F23" i="63"/>
  <c r="F22" i="63"/>
  <c r="F21" i="63"/>
  <c r="F20" i="63"/>
  <c r="F19" i="63"/>
  <c r="F18" i="63"/>
  <c r="F17" i="63"/>
  <c r="F16" i="63"/>
  <c r="F15" i="63"/>
  <c r="F14" i="63"/>
  <c r="F13" i="63"/>
  <c r="F12" i="63"/>
  <c r="F11" i="63"/>
  <c r="F10" i="63"/>
  <c r="F9" i="63"/>
  <c r="F8" i="63"/>
  <c r="F7" i="63"/>
  <c r="F6" i="63"/>
  <c r="D15" i="45"/>
  <c r="D14" i="45"/>
  <c r="D13" i="45"/>
  <c r="D12" i="45"/>
  <c r="D11" i="45"/>
  <c r="D10" i="45"/>
  <c r="D9" i="45"/>
  <c r="D8" i="45"/>
  <c r="D7" i="45"/>
  <c r="E63" i="40"/>
  <c r="E62" i="40"/>
  <c r="E61" i="40"/>
  <c r="E60" i="40"/>
  <c r="E59" i="40"/>
  <c r="E58" i="40"/>
  <c r="E57" i="40"/>
  <c r="E56" i="40"/>
  <c r="E55" i="40"/>
  <c r="E54" i="40"/>
  <c r="E53" i="40"/>
  <c r="E52" i="40"/>
  <c r="E51" i="40"/>
  <c r="E49" i="40"/>
  <c r="E48" i="40"/>
  <c r="E47" i="40"/>
  <c r="E46" i="40"/>
  <c r="E45" i="40"/>
  <c r="E44" i="40"/>
  <c r="E43" i="40"/>
  <c r="E42" i="40"/>
  <c r="E41" i="40"/>
  <c r="E40" i="40"/>
  <c r="E39" i="40"/>
  <c r="E38" i="40"/>
  <c r="E37" i="40"/>
  <c r="E36" i="40"/>
  <c r="E34" i="40"/>
  <c r="E33" i="40"/>
  <c r="E32" i="40"/>
  <c r="E31" i="40"/>
  <c r="E30" i="40"/>
  <c r="E29" i="40"/>
  <c r="E28" i="40"/>
  <c r="E27" i="40"/>
  <c r="E26" i="40"/>
  <c r="E25" i="40"/>
  <c r="E24" i="40"/>
  <c r="E23" i="40"/>
  <c r="E22" i="40"/>
  <c r="E20" i="40"/>
  <c r="E19" i="40"/>
  <c r="E18" i="40"/>
  <c r="E17" i="40"/>
  <c r="E16" i="40"/>
  <c r="E15" i="40"/>
  <c r="E14" i="40"/>
  <c r="E13" i="40"/>
  <c r="E12" i="40"/>
  <c r="E11" i="40"/>
  <c r="E10" i="40"/>
  <c r="E9" i="40"/>
  <c r="E8" i="40"/>
  <c r="E7" i="40"/>
  <c r="E6" i="40"/>
  <c r="E52" i="32"/>
  <c r="E51" i="32"/>
  <c r="E50" i="32"/>
  <c r="E49" i="32"/>
  <c r="E48" i="32"/>
  <c r="E47" i="32"/>
  <c r="E46" i="32"/>
  <c r="E45" i="32"/>
  <c r="E44" i="32"/>
  <c r="E43" i="32"/>
  <c r="E42" i="32"/>
  <c r="E40" i="32"/>
  <c r="E39" i="32"/>
  <c r="E38" i="32"/>
  <c r="E37" i="32"/>
  <c r="E36" i="32"/>
  <c r="E35" i="32"/>
  <c r="E34" i="32"/>
  <c r="E33" i="32"/>
  <c r="E32" i="32"/>
  <c r="E31" i="32"/>
  <c r="E30" i="32"/>
  <c r="E28" i="32"/>
  <c r="E27" i="32"/>
  <c r="E26" i="32"/>
  <c r="E25" i="32"/>
  <c r="E24" i="32"/>
  <c r="E23" i="32"/>
  <c r="E22" i="32"/>
  <c r="E21" i="32"/>
  <c r="E20" i="32"/>
  <c r="E19" i="32"/>
  <c r="E18" i="32"/>
  <c r="E16" i="32"/>
  <c r="E15" i="32"/>
  <c r="E14" i="32"/>
  <c r="E13" i="32"/>
  <c r="E12" i="32"/>
  <c r="E11" i="32"/>
  <c r="E10" i="32"/>
  <c r="E9" i="32"/>
  <c r="E8" i="32"/>
  <c r="E7" i="32"/>
  <c r="E6" i="32"/>
  <c r="L12" i="29"/>
  <c r="M12" i="29" s="1"/>
  <c r="M11" i="29"/>
  <c r="L11" i="29"/>
  <c r="F10" i="29"/>
  <c r="G10" i="29" s="1"/>
  <c r="F9" i="29"/>
  <c r="G9" i="29" s="1"/>
  <c r="L8" i="29"/>
  <c r="M8" i="29" s="1"/>
  <c r="M7" i="29"/>
  <c r="L7" i="29"/>
  <c r="C7" i="29"/>
  <c r="C8" i="29" s="1"/>
  <c r="C9" i="29" s="1"/>
  <c r="C10" i="29" s="1"/>
  <c r="C11" i="29" s="1"/>
  <c r="C12" i="29" s="1"/>
  <c r="L6" i="29"/>
  <c r="M6" i="29" s="1"/>
  <c r="G8" i="27"/>
  <c r="G7" i="27"/>
  <c r="G6" i="27"/>
  <c r="M10" i="24"/>
  <c r="O10" i="24" s="1"/>
  <c r="L10" i="24"/>
  <c r="N9" i="24"/>
  <c r="M9" i="24"/>
  <c r="O9" i="24" s="1"/>
  <c r="L9" i="24"/>
  <c r="M8" i="24"/>
  <c r="O8" i="24" s="1"/>
  <c r="L8" i="24"/>
  <c r="M7" i="24"/>
  <c r="O7" i="24" s="1"/>
  <c r="L7" i="24"/>
  <c r="M6" i="24"/>
  <c r="O6" i="24" s="1"/>
  <c r="L6" i="24"/>
  <c r="G7" i="21"/>
  <c r="G8" i="21" s="1"/>
  <c r="G9" i="21" s="1"/>
  <c r="G10" i="21" s="1"/>
  <c r="G11" i="21" s="1"/>
  <c r="G12" i="21" s="1"/>
  <c r="G13" i="21" s="1"/>
  <c r="G14" i="21" s="1"/>
  <c r="G15" i="21" s="1"/>
  <c r="G16" i="21" s="1"/>
  <c r="G17" i="21" s="1"/>
  <c r="G18" i="21" s="1"/>
  <c r="G19" i="21" s="1"/>
  <c r="G20" i="21" s="1"/>
  <c r="G21" i="21" s="1"/>
  <c r="G22" i="21" s="1"/>
  <c r="G23" i="21" s="1"/>
  <c r="G24" i="21" s="1"/>
  <c r="G25" i="21" s="1"/>
  <c r="G26" i="21" s="1"/>
  <c r="G27" i="21" s="1"/>
  <c r="G28" i="21" s="1"/>
  <c r="G29" i="21" s="1"/>
  <c r="G30" i="21" s="1"/>
  <c r="G31" i="21" s="1"/>
  <c r="G32" i="21" s="1"/>
  <c r="G33" i="21" s="1"/>
  <c r="G34" i="21" s="1"/>
  <c r="G35" i="21" s="1"/>
  <c r="G36" i="21" s="1"/>
  <c r="G37" i="21" s="1"/>
  <c r="G38" i="21" s="1"/>
  <c r="G39" i="21" s="1"/>
  <c r="G40" i="21" s="1"/>
  <c r="G41" i="21" s="1"/>
  <c r="G42" i="21" s="1"/>
  <c r="G43" i="21" s="1"/>
  <c r="G44" i="21" s="1"/>
  <c r="G45" i="21" s="1"/>
  <c r="G46" i="21" s="1"/>
  <c r="G47" i="21" s="1"/>
  <c r="G48" i="21" s="1"/>
  <c r="G49" i="21" s="1"/>
  <c r="G50" i="21" s="1"/>
  <c r="G51" i="21" s="1"/>
  <c r="G52" i="21" s="1"/>
  <c r="G53" i="21" s="1"/>
  <c r="G54" i="21" s="1"/>
  <c r="G55" i="21" s="1"/>
  <c r="G7" i="18"/>
  <c r="G8" i="18" s="1"/>
  <c r="G9" i="18" s="1"/>
  <c r="G10" i="18" s="1"/>
  <c r="G11" i="18" s="1"/>
  <c r="G12" i="18" s="1"/>
  <c r="G13" i="18" s="1"/>
  <c r="G14" i="18" s="1"/>
  <c r="G15" i="18" s="1"/>
  <c r="G16" i="18" s="1"/>
  <c r="G17" i="18" s="1"/>
  <c r="G18" i="18" s="1"/>
  <c r="G19" i="18" s="1"/>
  <c r="G20" i="18" s="1"/>
  <c r="G21" i="18" s="1"/>
  <c r="G22" i="18" s="1"/>
  <c r="G23" i="18" s="1"/>
  <c r="G24" i="18" s="1"/>
  <c r="G25" i="18" s="1"/>
  <c r="G26" i="18" s="1"/>
  <c r="I105" i="13"/>
  <c r="I104" i="13"/>
  <c r="I103" i="13"/>
  <c r="I102" i="13"/>
  <c r="I101" i="13"/>
  <c r="I100" i="13"/>
  <c r="I99" i="13"/>
  <c r="I98" i="13"/>
  <c r="I97" i="13"/>
  <c r="I96" i="13"/>
  <c r="I95" i="13"/>
  <c r="I94" i="13"/>
  <c r="I93" i="13"/>
  <c r="I92" i="13"/>
  <c r="I91" i="13"/>
  <c r="I90" i="13"/>
  <c r="I89" i="13"/>
  <c r="I88" i="13"/>
  <c r="I87" i="13"/>
  <c r="I86" i="13"/>
  <c r="I85" i="13"/>
  <c r="I84" i="13"/>
  <c r="I83" i="13"/>
  <c r="I82" i="13"/>
  <c r="I81" i="13"/>
  <c r="I80" i="13"/>
  <c r="I79" i="13"/>
  <c r="I78" i="13"/>
  <c r="I77" i="13"/>
  <c r="I76" i="13"/>
  <c r="I75" i="13"/>
  <c r="I74" i="13"/>
  <c r="I73" i="13"/>
  <c r="I72" i="13"/>
  <c r="I71" i="13"/>
  <c r="I70" i="13"/>
  <c r="I69" i="13"/>
  <c r="I68" i="13"/>
  <c r="I67" i="13"/>
  <c r="I66" i="13"/>
  <c r="I65" i="13"/>
  <c r="I64" i="13"/>
  <c r="I63" i="13"/>
  <c r="I62" i="13"/>
  <c r="I61" i="13"/>
  <c r="I60" i="13"/>
  <c r="I59" i="13"/>
  <c r="I58" i="13"/>
  <c r="I57" i="13"/>
  <c r="I56" i="13"/>
  <c r="I55" i="13"/>
  <c r="I54" i="13"/>
  <c r="I53" i="13"/>
  <c r="I52" i="13"/>
  <c r="I51" i="13"/>
  <c r="I50" i="13"/>
  <c r="I49" i="13"/>
  <c r="I48" i="13"/>
  <c r="I47" i="13"/>
  <c r="I46" i="13"/>
  <c r="I45" i="13"/>
  <c r="I44" i="13"/>
  <c r="I43" i="13"/>
  <c r="I42" i="13"/>
  <c r="I41" i="13"/>
  <c r="I40" i="13"/>
  <c r="I39" i="13"/>
  <c r="I38" i="13"/>
  <c r="I37" i="13"/>
  <c r="I36" i="13"/>
  <c r="I35" i="13"/>
  <c r="I34" i="13"/>
  <c r="I33" i="13"/>
  <c r="I32" i="13"/>
  <c r="I31" i="13"/>
  <c r="I30" i="13"/>
  <c r="I29" i="13"/>
  <c r="I28" i="13"/>
  <c r="I27" i="13"/>
  <c r="I26" i="13"/>
  <c r="E26" i="13"/>
  <c r="E27" i="13" s="1"/>
  <c r="E28" i="13" s="1"/>
  <c r="E29" i="13" s="1"/>
  <c r="E30" i="13" s="1"/>
  <c r="E31" i="13" s="1"/>
  <c r="E32" i="13" s="1"/>
  <c r="E33" i="13" s="1"/>
  <c r="E34" i="13" s="1"/>
  <c r="E35" i="13" s="1"/>
  <c r="E36" i="13" s="1"/>
  <c r="E37" i="13" s="1"/>
  <c r="E38" i="13" s="1"/>
  <c r="E39" i="13" s="1"/>
  <c r="E40" i="13" s="1"/>
  <c r="E41" i="13" s="1"/>
  <c r="E42" i="13" s="1"/>
  <c r="E43" i="13" s="1"/>
  <c r="E44" i="13" s="1"/>
  <c r="E45" i="13" s="1"/>
  <c r="E46" i="13" s="1"/>
  <c r="E47" i="13" s="1"/>
  <c r="E48" i="13" s="1"/>
  <c r="E49" i="13" s="1"/>
  <c r="E50" i="13" s="1"/>
  <c r="E51" i="13" s="1"/>
  <c r="E52" i="13" s="1"/>
  <c r="E53" i="13" s="1"/>
  <c r="E54" i="13" s="1"/>
  <c r="E55" i="13" s="1"/>
  <c r="E56" i="13" s="1"/>
  <c r="E57" i="13" s="1"/>
  <c r="E58" i="13" s="1"/>
  <c r="E59" i="13" s="1"/>
  <c r="E60" i="13" s="1"/>
  <c r="E61" i="13" s="1"/>
  <c r="E62" i="13" s="1"/>
  <c r="E63" i="13" s="1"/>
  <c r="E64" i="13" s="1"/>
  <c r="E65" i="13" s="1"/>
  <c r="E66" i="13" s="1"/>
  <c r="E67" i="13" s="1"/>
  <c r="E68" i="13" s="1"/>
  <c r="E69" i="13" s="1"/>
  <c r="E70" i="13" s="1"/>
  <c r="E71" i="13" s="1"/>
  <c r="E72" i="13" s="1"/>
  <c r="E73" i="13" s="1"/>
  <c r="E74" i="13" s="1"/>
  <c r="E75" i="13" s="1"/>
  <c r="E76" i="13" s="1"/>
  <c r="E77" i="13" s="1"/>
  <c r="E78" i="13" s="1"/>
  <c r="E79" i="13" s="1"/>
  <c r="E80" i="13" s="1"/>
  <c r="E81" i="13" s="1"/>
  <c r="E82" i="13" s="1"/>
  <c r="E83" i="13" s="1"/>
  <c r="E84" i="13" s="1"/>
  <c r="E85" i="13" s="1"/>
  <c r="E86" i="13" s="1"/>
  <c r="E87" i="13" s="1"/>
  <c r="E88" i="13" s="1"/>
  <c r="E89" i="13" s="1"/>
  <c r="E90" i="13" s="1"/>
  <c r="E91" i="13" s="1"/>
  <c r="E92" i="13" s="1"/>
  <c r="E93" i="13" s="1"/>
  <c r="E94" i="13" s="1"/>
  <c r="E95" i="13" s="1"/>
  <c r="E96" i="13" s="1"/>
  <c r="E97" i="13" s="1"/>
  <c r="E98" i="13" s="1"/>
  <c r="E99" i="13" s="1"/>
  <c r="E100" i="13" s="1"/>
  <c r="E101" i="13" s="1"/>
  <c r="E102" i="13" s="1"/>
  <c r="E103" i="13" s="1"/>
  <c r="I25" i="13"/>
  <c r="I24" i="13"/>
  <c r="I23" i="13"/>
  <c r="I22" i="13"/>
  <c r="I21" i="13"/>
  <c r="I20" i="13"/>
  <c r="I19" i="13"/>
  <c r="I18" i="13"/>
  <c r="I17" i="13"/>
  <c r="I16" i="13"/>
  <c r="I15" i="13"/>
  <c r="I14" i="13"/>
  <c r="I13" i="13"/>
  <c r="I12" i="13"/>
  <c r="I11" i="13"/>
  <c r="I10" i="13"/>
  <c r="I9" i="13"/>
  <c r="I8" i="13"/>
  <c r="I7" i="13"/>
  <c r="I6" i="13"/>
  <c r="H10" i="7"/>
  <c r="H9" i="7"/>
  <c r="H8" i="7"/>
  <c r="H7" i="7"/>
  <c r="H6" i="7"/>
  <c r="H10" i="29" l="1"/>
  <c r="I10" i="29" s="1"/>
  <c r="J10" i="29" s="1"/>
  <c r="K10" i="29" s="1"/>
  <c r="L10" i="29"/>
  <c r="M10" i="29" s="1"/>
  <c r="H9" i="29"/>
  <c r="I9" i="29" s="1"/>
  <c r="J9" i="29" s="1"/>
  <c r="K9" i="29" s="1"/>
  <c r="L9" i="29"/>
  <c r="M9" i="29" s="1"/>
  <c r="N8" i="24"/>
  <c r="N10" i="24"/>
  <c r="N6" i="24"/>
  <c r="N7" i="2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Administrator</author>
  </authors>
  <commentList>
    <comment ref="D5" authorId="0" shapeId="0" xr:uid="{00000000-0006-0000-0000-000001000000}">
      <text>
        <r>
          <rPr>
            <b/>
            <sz val="9"/>
            <rFont val="宋体"/>
            <charset val="134"/>
          </rPr>
          <t xml:space="preserve">VIP等级宝箱奖励：灵石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33511</author>
  </authors>
  <commentList>
    <comment ref="C5" authorId="0" shapeId="0" xr:uid="{00000000-0006-0000-0400-000001000000}">
      <text>
        <r>
          <rPr>
            <sz val="9"/>
            <rFont val="宋体"/>
            <charset val="134"/>
          </rPr>
          <t xml:space="preserve">1水晶充值
2功能修改去掉这个
3水晶购买道具
4水晶买魔币
6魔导石兑换魔币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33511</author>
  </authors>
  <commentList>
    <comment ref="C5" authorId="0" shapeId="0" xr:uid="{00000000-0006-0000-0500-000001000000}">
      <text>
        <r>
          <rPr>
            <b/>
            <sz val="9"/>
            <rFont val="宋体"/>
            <charset val="134"/>
          </rPr>
          <t>1，2为普通场次
3为奖池场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33511</author>
  </authors>
  <commentList>
    <comment ref="F5" authorId="0" shapeId="0" xr:uid="{00000000-0006-0000-0800-000001000000}">
      <text>
        <r>
          <rPr>
            <sz val="9"/>
            <rFont val="宋体"/>
            <charset val="134"/>
          </rPr>
          <t>10001金币30000-30007英雄20001-20005强化石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33511</author>
  </authors>
  <commentList>
    <comment ref="D5" authorId="0" shapeId="0" xr:uid="{00000000-0006-0000-0900-000001000000}">
      <text>
        <r>
          <rPr>
            <sz val="9"/>
            <rFont val="宋体"/>
            <charset val="134"/>
          </rPr>
          <t>1.货币2.强化石3.英雄4.活动道具10.客户端展示</t>
        </r>
      </text>
    </comment>
    <comment ref="E5" authorId="0" shapeId="0" xr:uid="{00000000-0006-0000-0900-000002000000}">
      <text>
        <r>
          <rPr>
            <sz val="9"/>
            <rFont val="宋体"/>
            <charset val="134"/>
          </rPr>
          <t>绿蓝橙紫0123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33511</author>
  </authors>
  <commentList>
    <comment ref="D5" authorId="0" shapeId="0" xr:uid="{00000000-0006-0000-0A00-000001000000}">
      <text>
        <r>
          <rPr>
            <b/>
            <sz val="9"/>
            <rFont val="宋体"/>
            <charset val="134"/>
          </rPr>
          <t>1绿2蓝3紫四金</t>
        </r>
        <r>
          <rPr>
            <sz val="9"/>
            <rFont val="宋体"/>
            <charset val="134"/>
          </rPr>
          <t xml:space="preserve">
5 红色</t>
        </r>
      </text>
    </comment>
    <comment ref="E5" authorId="0" shapeId="0" xr:uid="{00000000-0006-0000-0A00-000002000000}">
      <text>
        <r>
          <rPr>
            <b/>
            <sz val="9"/>
            <rFont val="宋体"/>
            <charset val="134"/>
          </rPr>
          <t>1电2火3冰4毒</t>
        </r>
        <r>
          <rPr>
            <sz val="9"/>
            <rFont val="宋体"/>
            <charset val="134"/>
          </rPr>
          <t xml:space="preserve">
</t>
        </r>
      </text>
    </comment>
    <comment ref="G5" authorId="0" shapeId="0" xr:uid="{00000000-0006-0000-0A00-000003000000}">
      <text>
        <r>
          <rPr>
            <sz val="9"/>
            <rFont val="宋体"/>
            <charset val="134"/>
          </rPr>
          <t>1默认2关卡3水晶兑换4任务解锁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33511</author>
  </authors>
  <commentList>
    <comment ref="C5" authorId="0" shapeId="0" xr:uid="{00000000-0006-0000-0B00-000001000000}">
      <text>
        <r>
          <rPr>
            <sz val="9"/>
            <rFont val="宋体"/>
            <charset val="134"/>
          </rPr>
          <t>10001金币30000-30007英雄20001-20005强化石</t>
        </r>
      </text>
    </comment>
    <comment ref="D5" authorId="0" shapeId="0" xr:uid="{00000000-0006-0000-0B00-000002000000}">
      <text>
        <r>
          <rPr>
            <sz val="9"/>
            <rFont val="宋体"/>
            <charset val="134"/>
          </rPr>
          <t xml:space="preserve">12345对应关卡序号，0按照顺序依次循环
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33511</author>
  </authors>
  <commentList>
    <comment ref="F5" authorId="0" shapeId="0" xr:uid="{00000000-0006-0000-0D00-000001000000}">
      <text>
        <r>
          <rPr>
            <sz val="9"/>
            <rFont val="宋体"/>
            <charset val="134"/>
          </rPr>
          <t>品质：1白2绿3蓝4紫5橙6红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33511</author>
  </authors>
  <commentList>
    <comment ref="C5" authorId="0" shapeId="0" xr:uid="{00000000-0006-0000-0E00-000001000000}">
      <text>
        <r>
          <rPr>
            <b/>
            <sz val="9"/>
            <rFont val="宋体"/>
            <charset val="134"/>
          </rPr>
          <t>1普通，2精英，3boss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33511</author>
  </authors>
  <commentList>
    <comment ref="C5" authorId="0" shapeId="0" xr:uid="{00000000-0006-0000-0F00-000001000000}">
      <text>
        <r>
          <rPr>
            <b/>
            <sz val="9"/>
            <rFont val="宋体"/>
            <charset val="134"/>
          </rPr>
          <t>1水晶2金币3灵石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Administrator</author>
  </authors>
  <commentList>
    <comment ref="C5" authorId="0" shapeId="0" xr:uid="{00000000-0006-0000-1000-000001000000}">
      <text>
        <r>
          <rPr>
            <b/>
            <sz val="9"/>
            <rFont val="宋体"/>
            <charset val="134"/>
          </rPr>
          <t>1 普通奖励
0 VIP奖励</t>
        </r>
        <r>
          <rPr>
            <sz val="9"/>
            <rFont val="宋体"/>
            <charset val="134"/>
          </rPr>
          <t xml:space="preserve">
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33511</author>
  </authors>
  <commentList>
    <comment ref="D5" authorId="0" shapeId="0" xr:uid="{00000000-0006-0000-1100-000001000000}">
      <text>
        <r>
          <rPr>
            <b/>
            <sz val="9"/>
            <rFont val="宋体"/>
            <charset val="134"/>
          </rPr>
          <t>1.磨导石任务
2.挑战券任务
3.魔币任务</t>
        </r>
        <r>
          <rPr>
            <sz val="9"/>
            <rFont val="宋体"/>
            <charset val="134"/>
          </rPr>
          <t xml:space="preserve">
4，累充任务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33511</author>
  </authors>
  <commentList>
    <comment ref="D5" authorId="0" shapeId="0" xr:uid="{00000000-0006-0000-1200-000001000000}">
      <text>
        <r>
          <rPr>
            <sz val="9"/>
            <rFont val="宋体"/>
            <charset val="134"/>
          </rPr>
          <t>一次性奖励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33511</author>
  </authors>
  <commentList>
    <comment ref="D5" authorId="0" shapeId="0" xr:uid="{00000000-0006-0000-1300-000001000000}">
      <text>
        <r>
          <rPr>
            <sz val="9"/>
            <rFont val="宋体"/>
            <charset val="134"/>
          </rPr>
          <t>需要消耗的挑战券数量，50关之后门票所需同50关一致</t>
        </r>
      </text>
    </comment>
    <comment ref="E5" authorId="0" shapeId="0" xr:uid="{00000000-0006-0000-1300-000002000000}">
      <text>
        <r>
          <rPr>
            <b/>
            <sz val="9"/>
            <rFont val="宋体"/>
            <charset val="134"/>
          </rPr>
          <t>110关之后的奖励同110关一致</t>
        </r>
      </text>
    </comment>
    <comment ref="F5" authorId="0" shapeId="0" xr:uid="{00000000-0006-0000-1300-000003000000}">
      <text>
        <r>
          <rPr>
            <sz val="9"/>
            <rFont val="宋体"/>
            <charset val="134"/>
          </rPr>
          <t>超过配置的关卡，关卡boss根据ai表中boss类型循环生成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33511</author>
  </authors>
  <commentList>
    <comment ref="E5" authorId="0" shapeId="0" xr:uid="{00000000-0006-0000-1400-000001000000}">
      <text>
        <r>
          <rPr>
            <sz val="9"/>
            <rFont val="宋体"/>
            <charset val="134"/>
          </rPr>
          <t xml:space="preserve">admin:
0-初始矩阵
1-正常矩阵
2-赢矩阵
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33511</author>
    <author>admin</author>
  </authors>
  <commentList>
    <comment ref="B5" authorId="0" shapeId="0" xr:uid="{00000000-0006-0000-1500-000001000000}">
      <text>
        <r>
          <rPr>
            <b/>
            <sz val="9"/>
            <rFont val="宋体"/>
            <charset val="134"/>
          </rPr>
          <t xml:space="preserve">1 正常修正
</t>
        </r>
        <r>
          <rPr>
            <sz val="9"/>
            <rFont val="宋体"/>
            <charset val="134"/>
          </rPr>
          <t>2 赢家修正
3 输家修正</t>
        </r>
      </text>
    </comment>
    <comment ref="C5" authorId="1" shapeId="0" xr:uid="{00000000-0006-0000-1500-000002000000}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大正/小正/平/小负大负（万分比）</t>
        </r>
      </text>
    </comment>
    <comment ref="D5" authorId="1" shapeId="0" xr:uid="{00000000-0006-0000-1500-000003000000}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最大值/最小值（万分比）以RTP计算</t>
        </r>
      </text>
    </comment>
    <comment ref="E5" authorId="1" shapeId="0" xr:uid="{00000000-0006-0000-1500-000004000000}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修正的最大係數</t>
        </r>
      </text>
    </comment>
    <comment ref="G5" authorId="1" shapeId="0" xr:uid="{00000000-0006-0000-1500-000005000000}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有万分之x的概率进入修正</t>
        </r>
      </text>
    </comment>
    <comment ref="H5" authorId="1" shapeId="0" xr:uid="{00000000-0006-0000-1500-000006000000}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处于赢家上限，要修正几个周期，让玩家回到正常线</t>
        </r>
      </text>
    </comment>
    <comment ref="I5" authorId="0" shapeId="0" xr:uid="{00000000-0006-0000-1500-000007000000}">
      <text>
        <r>
          <rPr>
            <sz val="9"/>
            <rFont val="宋体"/>
            <charset val="134"/>
          </rPr>
          <t xml:space="preserve">大于等于x倍率生效
</t>
        </r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</authors>
  <commentList>
    <comment ref="E5" authorId="0" shapeId="0" xr:uid="{00000000-0006-0000-2000-000001000000}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0正常一般商品
1每日次数重置
2终生1次
3条件重置购买
</t>
        </r>
      </text>
    </comment>
    <comment ref="F5" authorId="0" shapeId="0" xr:uid="{00000000-0006-0000-2000-000002000000}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0数据库 game_player_rechargegoods_table 表
1单独特殊表</t>
        </r>
      </text>
    </comment>
  </commentList>
</comments>
</file>

<file path=xl/comments1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33511</author>
  </authors>
  <commentList>
    <comment ref="C5" authorId="0" shapeId="0" xr:uid="{00000000-0006-0000-2300-000001000000}">
      <text>
        <r>
          <rPr>
            <b/>
            <sz val="9"/>
            <rFont val="宋体"/>
            <charset val="134"/>
          </rPr>
          <t>1魔币2魔导石3关卡</t>
        </r>
      </text>
    </comment>
  </commentList>
</comments>
</file>

<file path=xl/comments1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33511</author>
  </authors>
  <commentList>
    <comment ref="B5" authorId="0" shapeId="0" xr:uid="{00000000-0006-0000-2900-000001000000}">
      <text>
        <r>
          <rPr>
            <b/>
            <sz val="9"/>
            <rFont val="宋体"/>
            <charset val="134"/>
          </rPr>
          <t>10000新手保护</t>
        </r>
        <r>
          <rPr>
            <sz val="9"/>
            <rFont val="宋体"/>
            <charset val="134"/>
          </rPr>
          <t xml:space="preserve">
</t>
        </r>
      </text>
    </comment>
  </commentList>
</comments>
</file>

<file path=xl/comments2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33511</author>
  </authors>
  <commentList>
    <comment ref="C5" authorId="0" shapeId="0" xr:uid="{00000000-0006-0000-3300-000001000000}">
      <text>
        <r>
          <rPr>
            <sz val="9"/>
            <rFont val="宋体"/>
            <charset val="134"/>
          </rPr>
          <t>1 贡献值砸蛋
2 魔导石砸蛋</t>
        </r>
      </text>
    </comment>
  </commentList>
</comments>
</file>

<file path=xl/comments2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33511</author>
  </authors>
  <commentList>
    <comment ref="C5" authorId="0" shapeId="0" xr:uid="{00000000-0006-0000-3400-000001000000}">
      <text>
        <r>
          <rPr>
            <b/>
            <sz val="9"/>
            <rFont val="宋体"/>
            <charset val="134"/>
          </rPr>
          <t xml:space="preserve">1 贡献值砸蛋
</t>
        </r>
        <r>
          <rPr>
            <sz val="9"/>
            <rFont val="宋体"/>
            <charset val="134"/>
          </rPr>
          <t>2 魔导石砸蛋</t>
        </r>
      </text>
    </comment>
    <comment ref="D5" authorId="0" shapeId="0" xr:uid="{00000000-0006-0000-3400-000002000000}">
      <text>
        <r>
          <rPr>
            <b/>
            <sz val="9"/>
            <rFont val="宋体"/>
            <charset val="134"/>
          </rPr>
          <t xml:space="preserve">1  单抽
</t>
        </r>
        <r>
          <rPr>
            <sz val="9"/>
            <rFont val="宋体"/>
            <charset val="134"/>
          </rPr>
          <t>10  十连</t>
        </r>
      </text>
    </comment>
  </commentList>
</comments>
</file>

<file path=xl/comments2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33511</author>
  </authors>
  <commentList>
    <comment ref="C5" authorId="0" shapeId="0" xr:uid="{00000000-0006-0000-3900-000001000000}">
      <text>
        <r>
          <rPr>
            <sz val="9"/>
            <rFont val="宋体"/>
            <charset val="134"/>
          </rPr>
          <t>1 特等奖 红
2 一等奖 金
3 二等奖 紫
4 三等奖 蓝</t>
        </r>
      </text>
    </comment>
    <comment ref="D5" authorId="0" shapeId="0" xr:uid="{00000000-0006-0000-3900-000002000000}">
      <text>
        <r>
          <rPr>
            <sz val="9"/>
            <rFont val="宋体"/>
            <charset val="134"/>
          </rPr>
          <t>道具id</t>
        </r>
      </text>
    </comment>
  </commentList>
</comments>
</file>

<file path=xl/comments2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33511</author>
  </authors>
  <commentList>
    <comment ref="C5" authorId="0" shapeId="0" xr:uid="{00000000-0006-0000-3B00-000001000000}">
      <text>
        <r>
          <rPr>
            <sz val="9"/>
            <rFont val="宋体"/>
            <charset val="134"/>
          </rPr>
          <t>基础伤害值为100.实际造成伤害=暴击倍数*基础伤害</t>
        </r>
      </text>
    </comment>
    <comment ref="D5" authorId="0" shapeId="0" xr:uid="{00000000-0006-0000-3B00-000002000000}">
      <text>
        <r>
          <rPr>
            <sz val="9"/>
            <rFont val="宋体"/>
            <charset val="134"/>
          </rPr>
          <t>道具id</t>
        </r>
      </text>
    </comment>
  </commentList>
</comments>
</file>

<file path=xl/comments2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</authors>
  <commentList>
    <comment ref="G5" authorId="0" shapeId="0" xr:uid="{00000000-0006-0000-3C00-000001000000}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1:消耗魔币
2:消耗现金/元
3.</t>
        </r>
      </text>
    </comment>
  </commentList>
</comments>
</file>

<file path=xl/sharedStrings.xml><?xml version="1.0" encoding="utf-8"?>
<sst xmlns="http://schemas.openxmlformats.org/spreadsheetml/2006/main" count="2457" uniqueCount="1253">
  <si>
    <t>##var</t>
  </si>
  <si>
    <t>Id</t>
  </si>
  <si>
    <t>Exp</t>
  </si>
  <si>
    <t>Reward</t>
  </si>
  <si>
    <t>Txt1</t>
  </si>
  <si>
    <t>Txt2</t>
  </si>
  <si>
    <t>##type</t>
  </si>
  <si>
    <t>int</t>
  </si>
  <si>
    <t>string</t>
  </si>
  <si>
    <t>##group</t>
  </si>
  <si>
    <t>##</t>
  </si>
  <si>
    <t>vip等级</t>
  </si>
  <si>
    <t>升级经验</t>
  </si>
  <si>
    <t>每日宝箱奖励</t>
  </si>
  <si>
    <t>特权描述1</t>
  </si>
  <si>
    <t>特权描述2</t>
  </si>
  <si>
    <t>解锁VIP1每日宝箱</t>
  </si>
  <si>
    <t>解锁VIP2每日宝箱</t>
  </si>
  <si>
    <t>解锁VIP3每日宝箱</t>
  </si>
  <si>
    <t>解锁极品战车-重锤火炮</t>
  </si>
  <si>
    <t>解锁VIP4每日宝箱</t>
  </si>
  <si>
    <t>解锁VIP5每日宝箱</t>
  </si>
  <si>
    <t>解锁极品战车-陨星天罚</t>
  </si>
  <si>
    <t>解锁VIP6每日宝箱</t>
  </si>
  <si>
    <t>解锁极品战车-獠牙守卫</t>
  </si>
  <si>
    <t>解锁VIP7每日宝箱</t>
  </si>
  <si>
    <t>解锁极品战车-旋齿碎甲兽</t>
  </si>
  <si>
    <t>解锁VIP8每日宝箱</t>
  </si>
  <si>
    <t>解锁极品战车-光束裁决者</t>
  </si>
  <si>
    <t>解锁VIP9每日宝箱</t>
  </si>
  <si>
    <t>解锁VIP10每日宝箱</t>
  </si>
  <si>
    <t>Items</t>
  </si>
  <si>
    <t>Quantity</t>
  </si>
  <si>
    <t>Probability</t>
  </si>
  <si>
    <t>Probability2</t>
  </si>
  <si>
    <r>
      <rPr>
        <sz val="11"/>
        <color rgb="FF006100"/>
        <rFont val="等线"/>
        <charset val="134"/>
        <scheme val="minor"/>
      </rPr>
      <t>这是i</t>
    </r>
    <r>
      <rPr>
        <sz val="11"/>
        <color rgb="FF006100"/>
        <rFont val="等线"/>
        <charset val="134"/>
        <scheme val="minor"/>
      </rPr>
      <t>d</t>
    </r>
  </si>
  <si>
    <t>道具内容</t>
  </si>
  <si>
    <t>名字</t>
  </si>
  <si>
    <t>概率(%)</t>
  </si>
  <si>
    <t>Level</t>
  </si>
  <si>
    <t>Gold</t>
  </si>
  <si>
    <t>ID</t>
  </si>
  <si>
    <t>天赋等级</t>
  </si>
  <si>
    <t>金币数量</t>
  </si>
  <si>
    <t>Lvl</t>
  </si>
  <si>
    <t>NeedGolds</t>
  </si>
  <si>
    <t>BindSkill</t>
  </si>
  <si>
    <t>long</t>
  </si>
  <si>
    <t>id</t>
  </si>
  <si>
    <t>天赋技能等级</t>
  </si>
  <si>
    <t>升级金币</t>
  </si>
  <si>
    <t>技能</t>
  </si>
  <si>
    <t>Type</t>
  </si>
  <si>
    <t>Payamount</t>
  </si>
  <si>
    <t>Discount</t>
  </si>
  <si>
    <t>Paytimes</t>
  </si>
  <si>
    <t>Vip</t>
  </si>
  <si>
    <t>c</t>
  </si>
  <si>
    <t>商品id</t>
  </si>
  <si>
    <t>商品类型</t>
  </si>
  <si>
    <t>商品内容</t>
  </si>
  <si>
    <t>商品数量</t>
  </si>
  <si>
    <t>支付数量</t>
  </si>
  <si>
    <t>优惠折扣（%）</t>
  </si>
  <si>
    <t>购买次数限制</t>
  </si>
  <si>
    <t>VIP等级</t>
  </si>
  <si>
    <t>Name</t>
  </si>
  <si>
    <t>MagicCircle</t>
  </si>
  <si>
    <t>MagicCoins</t>
  </si>
  <si>
    <t>Inventory</t>
  </si>
  <si>
    <t>Condition</t>
  </si>
  <si>
    <t>Tax1</t>
  </si>
  <si>
    <t>Tax2</t>
  </si>
  <si>
    <t>Float</t>
  </si>
  <si>
    <t>Extramax</t>
  </si>
  <si>
    <t>Extramin</t>
  </si>
  <si>
    <t>Coefficientmax</t>
  </si>
  <si>
    <t>Coefficientmin</t>
  </si>
  <si>
    <t>Condition1</t>
  </si>
  <si>
    <t>Condition2</t>
  </si>
  <si>
    <t>BossTime</t>
  </si>
  <si>
    <t>Condition3</t>
  </si>
  <si>
    <t>Condition4</t>
  </si>
  <si>
    <t>(list#sep=,),int</t>
  </si>
  <si>
    <t>类型/场次</t>
  </si>
  <si>
    <t>地图名称</t>
  </si>
  <si>
    <t>阵法id</t>
  </si>
  <si>
    <t>魔能结晶掉落所需消耗魔币数量</t>
  </si>
  <si>
    <t>真实库存线</t>
  </si>
  <si>
    <t>判定条件（库存数量浮动）/1000</t>
  </si>
  <si>
    <t>金币税收/1000</t>
  </si>
  <si>
    <t>mon税收/1000</t>
  </si>
  <si>
    <t>变化值（库存概率）/1000</t>
  </si>
  <si>
    <t>最大库存概率/1000</t>
  </si>
  <si>
    <t>最小库存概率/1000</t>
  </si>
  <si>
    <t>最大掉落系数/1000</t>
  </si>
  <si>
    <t>最小掉落系数/1000</t>
  </si>
  <si>
    <t>入场条件1(阵法解锁等级)</t>
  </si>
  <si>
    <t>入场条件2（魔币）</t>
  </si>
  <si>
    <t>boss刷新时间秒</t>
  </si>
  <si>
    <t>限制进入条件（魔法阵等级达到x）</t>
  </si>
  <si>
    <t>限制进入条件（魔币数量大于x）</t>
  </si>
  <si>
    <t>炙风沙漠</t>
  </si>
  <si>
    <t>1000,1001,1002,1003,1004,1005,1006,1007,1008,1009</t>
  </si>
  <si>
    <t>90,150</t>
  </si>
  <si>
    <t>复苏苔原</t>
  </si>
  <si>
    <t>1010,1011,1012,1013,1014,1015,1016,1017,1018,1019</t>
  </si>
  <si>
    <t>风蚀峡谷</t>
  </si>
  <si>
    <t>1018,1019,1020,1021,1022,1023,1024,1025,1026,1027</t>
  </si>
  <si>
    <t>永冻壁垒</t>
  </si>
  <si>
    <t>1009,1010,1011,1012,1013,1014,1015,1016,1017,1018</t>
  </si>
  <si>
    <t>90,90</t>
  </si>
  <si>
    <t>FunactionalityName</t>
  </si>
  <si>
    <t>CurrentType</t>
  </si>
  <si>
    <t>TimeCondition</t>
  </si>
  <si>
    <t>MillisecondValue</t>
  </si>
  <si>
    <t>NextType</t>
  </si>
  <si>
    <t>枚举ID</t>
  </si>
  <si>
    <t>功能中文名称</t>
  </si>
  <si>
    <t>功能类型名称-程序类名</t>
  </si>
  <si>
    <t>时间控制条件</t>
  </si>
  <si>
    <t>时间-单位/毫秒</t>
  </si>
  <si>
    <t>当前界面关闭时-下个连续调起的功能</t>
  </si>
  <si>
    <t>签到有礼</t>
  </si>
  <si>
    <t>__CLRScript.SignInGiftPanel</t>
  </si>
  <si>
    <t>七日签到</t>
  </si>
  <si>
    <t>__CLRScript.SevenDayPanel</t>
  </si>
  <si>
    <t>Price</t>
  </si>
  <si>
    <t>OriginalPrice</t>
  </si>
  <si>
    <t>OriginalNum</t>
  </si>
  <si>
    <t>GiveNum</t>
  </si>
  <si>
    <t>#zhekoubeizhu</t>
  </si>
  <si>
    <t>实际价格</t>
  </si>
  <si>
    <t>原价（展示用）</t>
  </si>
  <si>
    <t>奖励物品Id</t>
  </si>
  <si>
    <t>奖励物品原数量</t>
  </si>
  <si>
    <t>额外赠送奖励物品数量</t>
  </si>
  <si>
    <t>Odds</t>
  </si>
  <si>
    <t xml:space="preserve">(list#sep=;),ItemExchange
</t>
  </si>
  <si>
    <t>s</t>
  </si>
  <si>
    <t>关卡id</t>
  </si>
  <si>
    <t>关卡名称</t>
  </si>
  <si>
    <t>金币掉落</t>
  </si>
  <si>
    <t>掉落概率</t>
  </si>
  <si>
    <t>首通奖励</t>
  </si>
  <si>
    <t>蜂巢林径</t>
  </si>
  <si>
    <t>10001,10000;201,1;202,1;20001,1</t>
  </si>
  <si>
    <t>暗夜翼林</t>
  </si>
  <si>
    <t>10001,10000;203,1;204,1;20002,2</t>
  </si>
  <si>
    <t>蛛丝幽谷</t>
  </si>
  <si>
    <t>10001,10000;205,1;206,1;20003,3</t>
  </si>
  <si>
    <t>妖木领域</t>
  </si>
  <si>
    <t>10001,10000;207,1;20004,3</t>
  </si>
  <si>
    <t>森林王庭</t>
  </si>
  <si>
    <t>10001,10000;208,1;20005,4</t>
  </si>
  <si>
    <t>蝎影黄沙</t>
  </si>
  <si>
    <t>10001,10000;20001,5</t>
  </si>
  <si>
    <t>毒刺幻境</t>
  </si>
  <si>
    <t>10001,10000;20002,5</t>
  </si>
  <si>
    <t>石心要塞</t>
  </si>
  <si>
    <t>10001,10000;20003,5</t>
  </si>
  <si>
    <t>死寂沙海</t>
  </si>
  <si>
    <t>沙漠王座</t>
  </si>
  <si>
    <t>10001,10000;20004,5</t>
  </si>
  <si>
    <t>群魔乱舞</t>
  </si>
  <si>
    <t>10001,10000;20005,5</t>
  </si>
  <si>
    <t>Quality</t>
  </si>
  <si>
    <t>Txt</t>
  </si>
  <si>
    <t>道具id</t>
  </si>
  <si>
    <t>道具名称</t>
  </si>
  <si>
    <t>道具类型</t>
  </si>
  <si>
    <t>品质（框）</t>
  </si>
  <si>
    <t>道具描述</t>
  </si>
  <si>
    <t>钻石</t>
  </si>
  <si>
    <t>货币，用来购买商城中各种道具</t>
  </si>
  <si>
    <t>金币</t>
  </si>
  <si>
    <t>暂时用不到</t>
  </si>
  <si>
    <t>晶币</t>
  </si>
  <si>
    <t>晶币，用于战车燃料系统消耗，升级装备</t>
  </si>
  <si>
    <t>晶核</t>
  </si>
  <si>
    <t>晶核，用于兑换珍稀道具</t>
  </si>
  <si>
    <t>战车币</t>
  </si>
  <si>
    <t>支付宝</t>
  </si>
  <si>
    <t>人民币1元</t>
  </si>
  <si>
    <t>挑战券</t>
  </si>
  <si>
    <t>关卡模式门票</t>
  </si>
  <si>
    <t>枪王功勋</t>
  </si>
  <si>
    <t>用于参与枪王秘宝活动奖池排名，每周三清空</t>
  </si>
  <si>
    <t>强化石</t>
  </si>
  <si>
    <t>可用于升级装备</t>
  </si>
  <si>
    <t>盲盒</t>
  </si>
  <si>
    <t>幸运盲盒活动专属</t>
  </si>
  <si>
    <t>30元抵扣券</t>
  </si>
  <si>
    <t>购买鸿运礼包时可抵扣30元</t>
  </si>
  <si>
    <t>直升VIP1</t>
  </si>
  <si>
    <t>解锁VIP1特权</t>
  </si>
  <si>
    <t>夺宝券</t>
  </si>
  <si>
    <t>参与暖冬转盘礼活动</t>
  </si>
  <si>
    <t>WATCH FIT4</t>
  </si>
  <si>
    <t>在转盘活动中兑换实物奖励：
WATCH FIT4</t>
  </si>
  <si>
    <t>iPhone17</t>
  </si>
  <si>
    <t>地狱火</t>
  </si>
  <si>
    <t>极品战车皮肤-地狱火</t>
  </si>
  <si>
    <t>Attribute</t>
  </si>
  <si>
    <t>Attack</t>
  </si>
  <si>
    <t>Unlock</t>
  </si>
  <si>
    <t>名称</t>
  </si>
  <si>
    <t>品质</t>
  </si>
  <si>
    <t>属性</t>
  </si>
  <si>
    <t>攻击</t>
  </si>
  <si>
    <t>解锁方式</t>
  </si>
  <si>
    <t>价格</t>
  </si>
  <si>
    <t>雷霆念师</t>
  </si>
  <si>
    <t>暗部忍者</t>
  </si>
  <si>
    <t>冰雪精灵</t>
  </si>
  <si>
    <t>荒人护法</t>
  </si>
  <si>
    <t>光电剑客</t>
  </si>
  <si>
    <t>火焰女侠</t>
  </si>
  <si>
    <t>海神供奉</t>
  </si>
  <si>
    <t>生化博士</t>
  </si>
  <si>
    <t>雷暴钢铁侠</t>
  </si>
  <si>
    <t>火元素之力</t>
  </si>
  <si>
    <t>无名大宗师</t>
  </si>
  <si>
    <t>美杜莎女王</t>
  </si>
  <si>
    <t>雷电法王</t>
  </si>
  <si>
    <t>(list#sep=;),ItemExchange</t>
  </si>
  <si>
    <t>首通奖励id</t>
  </si>
  <si>
    <t>对应关卡</t>
  </si>
  <si>
    <t>10001,10000;201,1;202,1;2001,1</t>
  </si>
  <si>
    <t>10001,10000;203,1;204,1;2002,2</t>
  </si>
  <si>
    <t>10001,10000;205,1;206,1;2003,3</t>
  </si>
  <si>
    <t>10001,10000;207,1;2004,3</t>
  </si>
  <si>
    <t>10001,10000;208,1;2005,4</t>
  </si>
  <si>
    <t>10001,10000;2001,5</t>
  </si>
  <si>
    <t>10001,10000;2002,5</t>
  </si>
  <si>
    <t>10001,10000;2003,5</t>
  </si>
  <si>
    <t>10001,10000;2004,5</t>
  </si>
  <si>
    <t>10001,10000;2005,5</t>
  </si>
  <si>
    <t>倍率</t>
  </si>
  <si>
    <t>最小</t>
  </si>
  <si>
    <t>最大</t>
  </si>
  <si>
    <t>Material</t>
  </si>
  <si>
    <t>Basis</t>
  </si>
  <si>
    <t>Bonus</t>
  </si>
  <si>
    <t>等级</t>
  </si>
  <si>
    <t>升级消耗晶币</t>
  </si>
  <si>
    <t>升级消耗材料</t>
  </si>
  <si>
    <t>基础属性</t>
  </si>
  <si>
    <t>词条属性百分比/1000</t>
  </si>
  <si>
    <t>Amount</t>
  </si>
  <si>
    <t>Speed</t>
  </si>
  <si>
    <t>Amountmax</t>
  </si>
  <si>
    <t>类型/怪物</t>
  </si>
  <si>
    <t>刷新数量</t>
  </si>
  <si>
    <t>刷新速度</t>
  </si>
  <si>
    <t>上限</t>
  </si>
  <si>
    <t>类型</t>
  </si>
  <si>
    <t>奖励数量</t>
  </si>
  <si>
    <t>Days</t>
  </si>
  <si>
    <t>Number</t>
  </si>
  <si>
    <t>天数</t>
  </si>
  <si>
    <t>奖励内容</t>
  </si>
  <si>
    <t>Description</t>
  </si>
  <si>
    <t>Tapy</t>
  </si>
  <si>
    <t>任务id</t>
  </si>
  <si>
    <t>任务描述</t>
  </si>
  <si>
    <t>任务类型</t>
  </si>
  <si>
    <t>目标数量</t>
  </si>
  <si>
    <t>奖励</t>
  </si>
  <si>
    <t>战斗中获得100晶核</t>
  </si>
  <si>
    <t>战斗中获得300晶核</t>
  </si>
  <si>
    <t>战斗中获得800晶核</t>
  </si>
  <si>
    <t>战斗中获得1800晶核</t>
  </si>
  <si>
    <t>战斗中获得4800晶核</t>
  </si>
  <si>
    <t>战斗中获得9800晶核</t>
  </si>
  <si>
    <t>战斗中获得15800晶核</t>
  </si>
  <si>
    <t>战斗中获得58800晶核</t>
  </si>
  <si>
    <t>战斗中获得128800晶核</t>
  </si>
  <si>
    <t>战斗中获得288000晶核</t>
  </si>
  <si>
    <t>战斗中获得488800晶核</t>
  </si>
  <si>
    <t>战斗中获得888888晶核</t>
  </si>
  <si>
    <t>战斗中获得1388888晶核</t>
  </si>
  <si>
    <t>战斗中获得1988888晶核</t>
  </si>
  <si>
    <t>战斗中获得2688888晶核</t>
  </si>
  <si>
    <t>战斗中获得3488888晶核</t>
  </si>
  <si>
    <t>战斗中获得4388888晶核</t>
  </si>
  <si>
    <t>战斗中获得5388888晶核</t>
  </si>
  <si>
    <t>战斗中获得6488888晶核</t>
  </si>
  <si>
    <t>战斗中获得7688888晶核</t>
  </si>
  <si>
    <t>战斗中获得8988888晶核</t>
  </si>
  <si>
    <t>战斗中获得10388888晶核</t>
  </si>
  <si>
    <t>战斗中获得11888888晶核</t>
  </si>
  <si>
    <t>无尽模式使用5千万晶币</t>
  </si>
  <si>
    <t>无尽模式使用1亿晶币</t>
  </si>
  <si>
    <t>无尽模式使用2亿晶币</t>
  </si>
  <si>
    <t>无尽模式使用3亿晶币</t>
  </si>
  <si>
    <t>无尽模式使用4亿晶币</t>
  </si>
  <si>
    <t>无尽模式使用5亿晶币</t>
  </si>
  <si>
    <t>无尽模式使用6亿晶币</t>
  </si>
  <si>
    <t>无尽模式使用7亿晶币</t>
  </si>
  <si>
    <t>无尽模式使用8亿晶币</t>
  </si>
  <si>
    <t>无尽模式使用9亿晶币</t>
  </si>
  <si>
    <t>无尽模式使用10亿晶币</t>
  </si>
  <si>
    <t>无尽模式使用12亿晶币</t>
  </si>
  <si>
    <t>无尽模式使用14亿晶币</t>
  </si>
  <si>
    <t>无尽模式使用16亿晶币</t>
  </si>
  <si>
    <t>无尽模式使用18亿晶币</t>
  </si>
  <si>
    <t>无尽模式使用20亿晶币</t>
  </si>
  <si>
    <t>无尽模式使用25亿晶币</t>
  </si>
  <si>
    <t>无尽模式使用30亿晶币</t>
  </si>
  <si>
    <t>无尽模式使用35亿晶币</t>
  </si>
  <si>
    <t>无尽模式使用40亿晶币</t>
  </si>
  <si>
    <t>无尽模式使用45亿晶币</t>
  </si>
  <si>
    <t>无尽模式使用50亿晶币</t>
  </si>
  <si>
    <t>无尽模式使用60亿晶币</t>
  </si>
  <si>
    <t>无尽模式使用70亿晶币</t>
  </si>
  <si>
    <t>无尽模式使用80亿晶币</t>
  </si>
  <si>
    <t>无尽模式使用90亿晶币</t>
  </si>
  <si>
    <t>无尽模式使用100亿晶币</t>
  </si>
  <si>
    <t>无尽模式使用110亿晶币</t>
  </si>
  <si>
    <t>无尽模式使用120亿晶币</t>
  </si>
  <si>
    <t>无尽模式使用130亿晶币</t>
  </si>
  <si>
    <t>无尽模式使用140亿晶币</t>
  </si>
  <si>
    <t>无尽模式使用150亿晶币</t>
  </si>
  <si>
    <t>无尽模式使用160亿晶币</t>
  </si>
  <si>
    <t>无尽模式使用170亿晶币</t>
  </si>
  <si>
    <t>无尽模式使用180亿晶币</t>
  </si>
  <si>
    <t>无尽模式使用190亿晶币</t>
  </si>
  <si>
    <t>无尽模式使用200亿晶币</t>
  </si>
  <si>
    <t>无尽模式使用210亿晶币</t>
  </si>
  <si>
    <t>无尽模式使用220亿晶币</t>
  </si>
  <si>
    <t>无尽模式使用230亿晶币</t>
  </si>
  <si>
    <t>今日充值6元</t>
  </si>
  <si>
    <t>今日充值28元</t>
  </si>
  <si>
    <t>今日充值68元</t>
  </si>
  <si>
    <t>今日充值128元</t>
  </si>
  <si>
    <t>今日充值188元</t>
  </si>
  <si>
    <t>今日充值288元</t>
  </si>
  <si>
    <t>今日充值588元</t>
  </si>
  <si>
    <t>Daily_rewards</t>
  </si>
  <si>
    <t>月卡id</t>
  </si>
  <si>
    <t>月卡名称</t>
  </si>
  <si>
    <t>购买奖励</t>
  </si>
  <si>
    <t>每日奖励</t>
  </si>
  <si>
    <t>特权时长/天</t>
  </si>
  <si>
    <t>月卡价格</t>
  </si>
  <si>
    <t>黄金周卡</t>
  </si>
  <si>
    <t>10002,500000</t>
  </si>
  <si>
    <t>10002,20000</t>
  </si>
  <si>
    <t>7</t>
  </si>
  <si>
    <t>豪华月卡</t>
  </si>
  <si>
    <t>10002,4040000;2001,30</t>
  </si>
  <si>
    <t>10002,40000</t>
  </si>
  <si>
    <t>30</t>
  </si>
  <si>
    <t>至尊季卡</t>
  </si>
  <si>
    <t>10002,10240000;2001,100</t>
  </si>
  <si>
    <t>10002,60000</t>
  </si>
  <si>
    <t>90</t>
  </si>
  <si>
    <t>Tickets</t>
  </si>
  <si>
    <t>FirstReward</t>
  </si>
  <si>
    <t>BossId</t>
  </si>
  <si>
    <t>AiHp</t>
  </si>
  <si>
    <t>关卡序号</t>
  </si>
  <si>
    <t>入场条件</t>
  </si>
  <si>
    <t>首领id</t>
  </si>
  <si>
    <t>怪物血量增长系数%</t>
  </si>
  <si>
    <t>2001,2</t>
  </si>
  <si>
    <t>2001,3</t>
  </si>
  <si>
    <t>2001,4</t>
  </si>
  <si>
    <t>2001,5</t>
  </si>
  <si>
    <t>2001,6</t>
  </si>
  <si>
    <t>2001,7</t>
  </si>
  <si>
    <t>2001,8</t>
  </si>
  <si>
    <t>2001,9</t>
  </si>
  <si>
    <t>2001,10</t>
  </si>
  <si>
    <t>2001,15</t>
  </si>
  <si>
    <t>2001,20</t>
  </si>
  <si>
    <t>2001,25</t>
  </si>
  <si>
    <t>StartStatus</t>
  </si>
  <si>
    <t>EndStatus</t>
  </si>
  <si>
    <t>WinType</t>
  </si>
  <si>
    <t>Weight</t>
  </si>
  <si>
    <t>状态ID</t>
  </si>
  <si>
    <t>初始状态ID</t>
  </si>
  <si>
    <t>终止状态ID</t>
  </si>
  <si>
    <t>权重</t>
  </si>
  <si>
    <t>Rate</t>
  </si>
  <si>
    <t>FixProbability</t>
  </si>
  <si>
    <t>FixRange</t>
  </si>
  <si>
    <t>FixHitCount</t>
  </si>
  <si>
    <t>FixMaybeProbability</t>
  </si>
  <si>
    <t>FixCycle</t>
  </si>
  <si>
    <t>Codex</t>
  </si>
  <si>
    <t>规则ID</t>
  </si>
  <si>
    <t>正常概率</t>
  </si>
  <si>
    <t>强制修正介入范围</t>
  </si>
  <si>
    <t>强制修正系数范围</t>
  </si>
  <si>
    <t>修正周期（命中次数）</t>
  </si>
  <si>
    <t>概率修正介入的概率</t>
  </si>
  <si>
    <t>修正周期</t>
  </si>
  <si>
    <t>触发条件</t>
  </si>
  <si>
    <t>11500,10500,10000,9500,8500</t>
  </si>
  <si>
    <t>2900,-3000</t>
  </si>
  <si>
    <t>15000,6000</t>
  </si>
  <si>
    <t>35,50</t>
  </si>
  <si>
    <t>11000,10500,8000,5500,5000</t>
  </si>
  <si>
    <t>100,120</t>
  </si>
  <si>
    <t>BaseRewards</t>
  </si>
  <si>
    <t>FirstRewards</t>
  </si>
  <si>
    <t>SecondRewards</t>
  </si>
  <si>
    <t>TimeInterval</t>
  </si>
  <si>
    <t>ExtraRewards</t>
  </si>
  <si>
    <t>礼包id</t>
  </si>
  <si>
    <t>礼包购买基础奖励</t>
  </si>
  <si>
    <t>首次购买额外奖励</t>
  </si>
  <si>
    <t>再次购买额外奖励</t>
  </si>
  <si>
    <t>连续购买奖励间隔/秒</t>
  </si>
  <si>
    <t>连续购买奖励</t>
  </si>
  <si>
    <t>原价</t>
  </si>
  <si>
    <t>商品价格&amp;支付</t>
  </si>
  <si>
    <t>6元</t>
  </si>
  <si>
    <t>10002,240000</t>
  </si>
  <si>
    <t>10002,240000;10000,10</t>
  </si>
  <si>
    <t>10002,30000</t>
  </si>
  <si>
    <t>11</t>
  </si>
  <si>
    <t>58元</t>
  </si>
  <si>
    <t>10002,2360000</t>
  </si>
  <si>
    <t>10002,2360000;10000,25</t>
  </si>
  <si>
    <t>10002,300000</t>
  </si>
  <si>
    <t>107</t>
  </si>
  <si>
    <t>98元</t>
  </si>
  <si>
    <t>10002,4090000</t>
  </si>
  <si>
    <t>10002,4090000;10000,50</t>
  </si>
  <si>
    <t>181</t>
  </si>
  <si>
    <t>258元</t>
  </si>
  <si>
    <t>10002,11120000</t>
  </si>
  <si>
    <t>10002,11120000;10000,100</t>
  </si>
  <si>
    <t>10002,800000</t>
  </si>
  <si>
    <t>477</t>
  </si>
  <si>
    <t>588元</t>
  </si>
  <si>
    <t>10002,26120000</t>
  </si>
  <si>
    <t>10002,26120000;10000,300</t>
  </si>
  <si>
    <t>10002,1000000</t>
  </si>
  <si>
    <t>1087</t>
  </si>
  <si>
    <t>ProgressLimit</t>
  </si>
  <si>
    <t>TasksNumber</t>
  </si>
  <si>
    <t>任务进度奖励上限</t>
  </si>
  <si>
    <t>任务数量</t>
  </si>
  <si>
    <t>支付价格</t>
  </si>
  <si>
    <t>一阶</t>
  </si>
  <si>
    <t>10002,450000</t>
  </si>
  <si>
    <t>二阶</t>
  </si>
  <si>
    <t>10002,2820000</t>
  </si>
  <si>
    <t>三阶</t>
  </si>
  <si>
    <t>10002,5257000</t>
  </si>
  <si>
    <t>四阶</t>
  </si>
  <si>
    <t>10002,10308000</t>
  </si>
  <si>
    <t>五阶</t>
  </si>
  <si>
    <t>10002,32510000</t>
  </si>
  <si>
    <t>六阶</t>
  </si>
  <si>
    <t>10002,49980000</t>
  </si>
  <si>
    <t>七阶</t>
  </si>
  <si>
    <t>10002,76549000</t>
  </si>
  <si>
    <t>TaskDescription</t>
  </si>
  <si>
    <t>NumberOfTasks</t>
  </si>
  <si>
    <t>任务奖励</t>
  </si>
  <si>
    <t>无尽模式赢取4万魔币</t>
  </si>
  <si>
    <t>10002,1000</t>
  </si>
  <si>
    <t>无尽模式赢取10万魔币</t>
  </si>
  <si>
    <t>10002,2400</t>
  </si>
  <si>
    <t>无尽模式赢取30万魔币</t>
  </si>
  <si>
    <t>10002,4000</t>
  </si>
  <si>
    <t>无尽模式赢取96万魔币</t>
  </si>
  <si>
    <t>10002,4400</t>
  </si>
  <si>
    <t>无尽模式赢取192万魔币</t>
  </si>
  <si>
    <t>10002,6000</t>
  </si>
  <si>
    <t>无尽模式赢取300万魔币</t>
  </si>
  <si>
    <t>10002,10000</t>
  </si>
  <si>
    <t>无尽模式赢取400万魔币</t>
  </si>
  <si>
    <t>无尽模式赢取20万魔币</t>
  </si>
  <si>
    <t>10002,19200</t>
  </si>
  <si>
    <t>无尽模式赢取40万魔币</t>
  </si>
  <si>
    <t>无尽模式赢取100万魔币</t>
  </si>
  <si>
    <t>无尽模式赢取200万魔币</t>
  </si>
  <si>
    <t>10002,50000</t>
  </si>
  <si>
    <t>10002,70000</t>
  </si>
  <si>
    <t>无尽模式赢取1000万魔币</t>
  </si>
  <si>
    <t>10002,100000</t>
  </si>
  <si>
    <t>10002,16400</t>
  </si>
  <si>
    <t>无尽模式赢取360万魔币</t>
  </si>
  <si>
    <t>10002,76000</t>
  </si>
  <si>
    <t>无尽模式赢取760万魔币</t>
  </si>
  <si>
    <t>10002,116000</t>
  </si>
  <si>
    <t>无尽模式赢取1360万魔币</t>
  </si>
  <si>
    <t>10002,124000</t>
  </si>
  <si>
    <t>无尽模式赢取60万魔币</t>
  </si>
  <si>
    <t>10002,36000</t>
  </si>
  <si>
    <t>无尽模式赢取160万魔币</t>
  </si>
  <si>
    <t>10002,80000</t>
  </si>
  <si>
    <t>无尽模式赢取1600万魔币</t>
  </si>
  <si>
    <t>10002,120000</t>
  </si>
  <si>
    <t>无尽模式赢取2400万魔币</t>
  </si>
  <si>
    <t>10002,160000</t>
  </si>
  <si>
    <t>无尽模式赢取3000万魔币</t>
  </si>
  <si>
    <t>10002,215200</t>
  </si>
  <si>
    <t>无尽模式赢取76万魔币</t>
  </si>
  <si>
    <t>10002,43600</t>
  </si>
  <si>
    <t>无尽模式赢取176万魔币</t>
  </si>
  <si>
    <t>无尽模式赢取516万魔币</t>
  </si>
  <si>
    <t>无尽模式赢取1176万魔币</t>
  </si>
  <si>
    <t>10002,170000</t>
  </si>
  <si>
    <t>无尽模式赢取1776万魔币</t>
  </si>
  <si>
    <t>无尽模式赢取2760万魔币</t>
  </si>
  <si>
    <t>10002,400000</t>
  </si>
  <si>
    <t>无尽模式赢取5760万魔币</t>
  </si>
  <si>
    <t>10002,576000</t>
  </si>
  <si>
    <t>无尽模式赢取116万魔币</t>
  </si>
  <si>
    <t>10002,96000</t>
  </si>
  <si>
    <t>无尽模式赢取216万魔币</t>
  </si>
  <si>
    <t>10002,144000</t>
  </si>
  <si>
    <t>无尽模式赢取776万魔币</t>
  </si>
  <si>
    <t>10002,196000</t>
  </si>
  <si>
    <t>无尽模式赢取1576万魔币</t>
  </si>
  <si>
    <t>10002,276000</t>
  </si>
  <si>
    <t>无尽模式赢取2576万魔币</t>
  </si>
  <si>
    <t>10002,516000</t>
  </si>
  <si>
    <t>无尽模式赢取3760万魔币</t>
  </si>
  <si>
    <t>10002,776000</t>
  </si>
  <si>
    <t>无尽模式赢取7760万魔币</t>
  </si>
  <si>
    <t>10002,936000</t>
  </si>
  <si>
    <t>无尽模式赢取416万魔币</t>
  </si>
  <si>
    <t>10002,166400</t>
  </si>
  <si>
    <t>无尽模式赢取1136万魔币</t>
  </si>
  <si>
    <t>10002,316000</t>
  </si>
  <si>
    <t>无尽模式赢取3176万魔币</t>
  </si>
  <si>
    <t>10002,440000</t>
  </si>
  <si>
    <t>无尽模式赢取5960万魔币</t>
  </si>
  <si>
    <t>10002,976000</t>
  </si>
  <si>
    <t>无尽模式赢取1.36亿魔币</t>
  </si>
  <si>
    <t>10002,1376000</t>
  </si>
  <si>
    <t>无尽模式赢取4亿魔币</t>
  </si>
  <si>
    <t>10002,1760000</t>
  </si>
  <si>
    <t>Rewards</t>
  </si>
  <si>
    <t>FormationLevel</t>
  </si>
  <si>
    <t>礼包购买额外奖励</t>
  </si>
  <si>
    <t>阵法解锁等级</t>
  </si>
  <si>
    <t>冒险礼包</t>
  </si>
  <si>
    <t>10002,5220000</t>
  </si>
  <si>
    <t>冲刺礼包</t>
  </si>
  <si>
    <t>10002,34920000</t>
  </si>
  <si>
    <t>登顶礼包</t>
  </si>
  <si>
    <t>10002,52920000</t>
  </si>
  <si>
    <t>Proportion</t>
  </si>
  <si>
    <t>Att</t>
  </si>
  <si>
    <t>AttributeBonus</t>
  </si>
  <si>
    <t>MissionSDescription</t>
  </si>
  <si>
    <t>Progress</t>
  </si>
  <si>
    <t>阵法名称</t>
  </si>
  <si>
    <t>阵法描述</t>
  </si>
  <si>
    <t>瓜分比例/1000</t>
  </si>
  <si>
    <t>阵法所需魔币数量</t>
  </si>
  <si>
    <t>阵法属性加成（攻击和生命固定值）</t>
  </si>
  <si>
    <t>阵法等级</t>
  </si>
  <si>
    <t>解锁任务描述</t>
  </si>
  <si>
    <t>所需进度数量（魔能结晶数量)</t>
  </si>
  <si>
    <t>1阶燃料系统</t>
  </si>
  <si>
    <t>能源消耗速度</t>
  </si>
  <si>
    <t>2阶燃料系统</t>
  </si>
  <si>
    <t>解锁2阶燃料系统</t>
  </si>
  <si>
    <t>3阶燃料系统</t>
  </si>
  <si>
    <t>解锁3阶燃料系统</t>
  </si>
  <si>
    <t>4阶燃料系统</t>
  </si>
  <si>
    <t>解锁4阶燃料系统</t>
  </si>
  <si>
    <t>5阶燃料系统</t>
  </si>
  <si>
    <t>解锁5阶燃料系统</t>
  </si>
  <si>
    <t>6阶燃料系统</t>
  </si>
  <si>
    <t>解锁6阶燃料系统</t>
  </si>
  <si>
    <t>7阶燃料系统</t>
  </si>
  <si>
    <t>解锁7阶燃料系统</t>
  </si>
  <si>
    <t>8阶燃料系统</t>
  </si>
  <si>
    <t>解锁8阶燃料系统</t>
  </si>
  <si>
    <t>9阶燃料系统</t>
  </si>
  <si>
    <t>解锁9阶燃料系统</t>
  </si>
  <si>
    <t>10阶燃料系统</t>
  </si>
  <si>
    <t>解锁10阶燃料系统</t>
  </si>
  <si>
    <t>11阶燃料系统</t>
  </si>
  <si>
    <t>解锁11阶燃料系统</t>
  </si>
  <si>
    <t>12阶燃料系统</t>
  </si>
  <si>
    <t>解锁12阶燃料系统</t>
  </si>
  <si>
    <t>13阶燃料系统</t>
  </si>
  <si>
    <t>解锁13阶燃料系统</t>
  </si>
  <si>
    <t>14阶燃料系统</t>
  </si>
  <si>
    <t>解锁14阶燃料系统</t>
  </si>
  <si>
    <t>15阶燃料系统</t>
  </si>
  <si>
    <t>解锁15阶燃料系统</t>
  </si>
  <si>
    <t>16阶燃料系统</t>
  </si>
  <si>
    <t>解锁16阶燃料系统</t>
  </si>
  <si>
    <t>17阶燃料系统</t>
  </si>
  <si>
    <t>解锁17阶燃料系统</t>
  </si>
  <si>
    <t>18阶燃料系统</t>
  </si>
  <si>
    <t>解锁18阶燃料系统</t>
  </si>
  <si>
    <t>19阶燃料系统</t>
  </si>
  <si>
    <t>解锁19阶燃料系统</t>
  </si>
  <si>
    <t>20阶燃料系统</t>
  </si>
  <si>
    <t>解锁20阶燃料系统</t>
  </si>
  <si>
    <t>21阶燃料系统</t>
  </si>
  <si>
    <t>解锁21阶燃料系统</t>
  </si>
  <si>
    <t>22阶燃料系统</t>
  </si>
  <si>
    <t>解锁22阶燃料系统</t>
  </si>
  <si>
    <t>23阶燃料系统</t>
  </si>
  <si>
    <t>解锁23阶燃料系统</t>
  </si>
  <si>
    <t>24阶燃料系统</t>
  </si>
  <si>
    <t>解锁24阶燃料系统</t>
  </si>
  <si>
    <t>25阶燃料系统</t>
  </si>
  <si>
    <t>解锁25阶燃料系统</t>
  </si>
  <si>
    <t>26阶燃料系统</t>
  </si>
  <si>
    <t>解锁26阶燃料系统</t>
  </si>
  <si>
    <t>27阶燃料系统</t>
  </si>
  <si>
    <t>解锁27阶燃料系统</t>
  </si>
  <si>
    <t>28阶燃料系统</t>
  </si>
  <si>
    <t>解锁28阶燃料系统</t>
  </si>
  <si>
    <t>关卡任务id</t>
  </si>
  <si>
    <t>关卡奖励</t>
  </si>
  <si>
    <t>关卡1</t>
  </si>
  <si>
    <t>关卡2</t>
  </si>
  <si>
    <t>关卡3</t>
  </si>
  <si>
    <t>关卡4</t>
  </si>
  <si>
    <t>关卡5</t>
  </si>
  <si>
    <t>关卡6</t>
  </si>
  <si>
    <t>关卡7</t>
  </si>
  <si>
    <t>关卡8</t>
  </si>
  <si>
    <t>总奖励</t>
  </si>
  <si>
    <t>10003,80000</t>
  </si>
  <si>
    <t>10003,280000</t>
  </si>
  <si>
    <t>10003,600000</t>
  </si>
  <si>
    <t>10003,980000</t>
  </si>
  <si>
    <t>10003,1470000</t>
  </si>
  <si>
    <t>10003,1850000</t>
  </si>
  <si>
    <t>10003,2000000</t>
  </si>
  <si>
    <t>Reward2</t>
  </si>
  <si>
    <t>礼包名称</t>
  </si>
  <si>
    <t>特殊奖励</t>
  </si>
  <si>
    <t>新手礼包</t>
  </si>
  <si>
    <t>10002,50000;10003,3000;2001,5</t>
  </si>
  <si>
    <t>首充礼包</t>
  </si>
  <si>
    <t>10002,360000;10003,60000</t>
  </si>
  <si>
    <t>101,1</t>
  </si>
  <si>
    <t>Serername</t>
  </si>
  <si>
    <t>Severdaddr</t>
  </si>
  <si>
    <t>服务器名</t>
  </si>
  <si>
    <t>地址</t>
  </si>
  <si>
    <t>dlzstjxgs-online118</t>
  </si>
  <si>
    <t>121.40.247.118</t>
  </si>
  <si>
    <t>dlzstjxgs-online9</t>
  </si>
  <si>
    <t>118.31.38.9</t>
  </si>
  <si>
    <t>dlzstjxgs-test</t>
  </si>
  <si>
    <t>116.62.27.184</t>
  </si>
  <si>
    <t>dlzstixgs-test62</t>
  </si>
  <si>
    <t>47.102.112.62</t>
  </si>
  <si>
    <t>TargetPlay</t>
  </si>
  <si>
    <t>MinCurrencyValue</t>
  </si>
  <si>
    <t>MaxCurrencyValue</t>
  </si>
  <si>
    <t>ChanceAdjust</t>
  </si>
  <si>
    <t>规则id</t>
  </si>
  <si>
    <t>场次id</t>
  </si>
  <si>
    <t>下限</t>
  </si>
  <si>
    <t>概率/100</t>
  </si>
  <si>
    <t>Describe</t>
  </si>
  <si>
    <t>GoodsType</t>
  </si>
  <si>
    <t>SaveType</t>
  </si>
  <si>
    <t>充值商品id</t>
  </si>
  <si>
    <t>商品价格元</t>
  </si>
  <si>
    <t>商品说明</t>
  </si>
  <si>
    <t>保存类型</t>
  </si>
  <si>
    <t>钻石礼包1</t>
  </si>
  <si>
    <t>钻石礼包2</t>
  </si>
  <si>
    <t>钻石礼包3</t>
  </si>
  <si>
    <t>钻石礼包4</t>
  </si>
  <si>
    <t>钻石礼包5</t>
  </si>
  <si>
    <t>钻石礼包6</t>
  </si>
  <si>
    <t>7元投资礼包</t>
  </si>
  <si>
    <t>每日限购礼包1</t>
  </si>
  <si>
    <t>每日限购礼包2</t>
  </si>
  <si>
    <t>每日限购礼包3</t>
  </si>
  <si>
    <t>每日限购礼包4</t>
  </si>
  <si>
    <t>每日限购礼包5</t>
  </si>
  <si>
    <t>一本万利1</t>
  </si>
  <si>
    <t>一本万利2</t>
  </si>
  <si>
    <t>一本万利3</t>
  </si>
  <si>
    <t>一本万利4</t>
  </si>
  <si>
    <t>一本万利5</t>
  </si>
  <si>
    <t>一本万利6</t>
  </si>
  <si>
    <t>一本万利7</t>
  </si>
  <si>
    <t>聚划算礼包1</t>
  </si>
  <si>
    <t>聚划算礼包2</t>
  </si>
  <si>
    <t>聚划算礼包3</t>
  </si>
  <si>
    <t>聚划算礼包4</t>
  </si>
  <si>
    <t>聚划算礼包5</t>
  </si>
  <si>
    <t>成长礼包1</t>
  </si>
  <si>
    <t>成长礼包2</t>
  </si>
  <si>
    <t>成长礼包3</t>
  </si>
  <si>
    <t>英雄大礼包</t>
  </si>
  <si>
    <t>周卡</t>
  </si>
  <si>
    <t>月卡</t>
  </si>
  <si>
    <t>季卡</t>
  </si>
  <si>
    <t>初级强化石礼包</t>
  </si>
  <si>
    <t>中级强化石礼包</t>
  </si>
  <si>
    <t>高级强化石礼包</t>
  </si>
  <si>
    <t>鸿运礼包</t>
  </si>
  <si>
    <t>枪王秘宝礼包30元</t>
  </si>
  <si>
    <t>枪王秘宝礼包98元</t>
  </si>
  <si>
    <t>枪王秘宝礼包328元</t>
  </si>
  <si>
    <t>枪王秘宝礼包648元</t>
  </si>
  <si>
    <t>连购礼包1</t>
  </si>
  <si>
    <t>连购礼包2</t>
  </si>
  <si>
    <t>连购礼包3</t>
  </si>
  <si>
    <t>连购礼包4</t>
  </si>
  <si>
    <t>连购礼包5</t>
  </si>
  <si>
    <t>惊喜签礼包</t>
  </si>
  <si>
    <t>宝藏签礼包</t>
  </si>
  <si>
    <t>奇迹签礼包</t>
  </si>
  <si>
    <t>启程礼包</t>
  </si>
  <si>
    <t>轻享礼包</t>
  </si>
  <si>
    <t>畅享礼包</t>
  </si>
  <si>
    <t>尊享礼包</t>
  </si>
  <si>
    <t>白银礼包</t>
  </si>
  <si>
    <t>黄金礼包</t>
  </si>
  <si>
    <t>钻石礼包</t>
  </si>
  <si>
    <t>存钱罐vip0</t>
  </si>
  <si>
    <t>存钱罐vip1</t>
  </si>
  <si>
    <t>存钱罐vip2</t>
  </si>
  <si>
    <t>存钱罐vip3</t>
  </si>
  <si>
    <t>存钱罐vip4</t>
  </si>
  <si>
    <t>存钱罐vip5</t>
  </si>
  <si>
    <t>存钱罐vip6</t>
  </si>
  <si>
    <t>存钱罐vip7</t>
  </si>
  <si>
    <t>存钱罐vip8</t>
  </si>
  <si>
    <t>存钱罐vip9</t>
  </si>
  <si>
    <t>存钱罐vip10</t>
  </si>
  <si>
    <t>夺宝券礼包一</t>
  </si>
  <si>
    <t>夺宝券礼包二</t>
  </si>
  <si>
    <t>夺宝券礼包三</t>
  </si>
  <si>
    <t>夺宝券礼包四</t>
  </si>
  <si>
    <t>夺宝券礼包五</t>
  </si>
  <si>
    <t>夺宝券礼包六</t>
  </si>
  <si>
    <t>UpPro</t>
  </si>
  <si>
    <t>DownPro</t>
  </si>
  <si>
    <t>StartBuffUseCondition</t>
  </si>
  <si>
    <t>StartBuffCondition</t>
  </si>
  <si>
    <t>NormalStartBuffCondition</t>
  </si>
  <si>
    <t>LowBuffCondition</t>
  </si>
  <si>
    <t>UpBuffCondition</t>
  </si>
  <si>
    <t>EndUseCondition</t>
  </si>
  <si>
    <t>EndProCondition</t>
  </si>
  <si>
    <t>BuffBullet</t>
  </si>
  <si>
    <t>FishPrice</t>
  </si>
  <si>
    <t>NextSavePro</t>
  </si>
  <si>
    <t>BossPrice</t>
  </si>
  <si>
    <t>(list#sep=,),long</t>
  </si>
  <si>
    <t>增益buff</t>
  </si>
  <si>
    <t>减益buff</t>
  </si>
  <si>
    <t>buff生效使用条件</t>
  </si>
  <si>
    <t>第一次起始增益buff激活条件 rtp=总获得/总使用</t>
  </si>
  <si>
    <t>循环后起始增益buff激活条件</t>
  </si>
  <si>
    <t>减益buff激活条件</t>
  </si>
  <si>
    <t>增益buff激活条件</t>
  </si>
  <si>
    <t>结束使用值</t>
  </si>
  <si>
    <t>结束返奖率</t>
  </si>
  <si>
    <t>子弹区间</t>
  </si>
  <si>
    <t>生效倍率区间</t>
  </si>
  <si>
    <t>新循环开始救人rtp</t>
  </si>
  <si>
    <t>生效boss最大倍率</t>
  </si>
  <si>
    <t>初/中/奖金/M值</t>
  </si>
  <si>
    <t>增益概率/1000</t>
  </si>
  <si>
    <t>减益概率/1000</t>
  </si>
  <si>
    <t>总使用大于该值buff激活</t>
  </si>
  <si>
    <t>使用小于起始值 rtp&lt;=这个值激活增益buff</t>
  </si>
  <si>
    <t>使用小于等于起始值 rtp&lt;=这个值激活增益buff</t>
  </si>
  <si>
    <t>上限概率/1000 &gt;=减益buff</t>
  </si>
  <si>
    <t>下限概率/1000&lt;=增益buff</t>
  </si>
  <si>
    <t>结束周期判断条件1</t>
  </si>
  <si>
    <t>结束周期判断条件2 &gt;= /1000</t>
  </si>
  <si>
    <t>buff子弹数</t>
  </si>
  <si>
    <t>/1000</t>
  </si>
  <si>
    <t>2000000,3000000</t>
  </si>
  <si>
    <t>400000000,600000000</t>
  </si>
  <si>
    <t>935,955</t>
  </si>
  <si>
    <t>30,60</t>
  </si>
  <si>
    <t>15,300</t>
  </si>
  <si>
    <t>20000000,40000000</t>
  </si>
  <si>
    <t>20000000000,4000000000</t>
  </si>
  <si>
    <t>15,500</t>
  </si>
  <si>
    <t>100000000,150000000</t>
  </si>
  <si>
    <t>100000000000,15000000000</t>
  </si>
  <si>
    <t>Reward1</t>
  </si>
  <si>
    <t>强化石奖励</t>
  </si>
  <si>
    <t>魔币奖励</t>
  </si>
  <si>
    <t>2001,188</t>
  </si>
  <si>
    <t>10002,16000000</t>
  </si>
  <si>
    <t>2001,388</t>
  </si>
  <si>
    <t>10002,33600000</t>
  </si>
  <si>
    <t>2001,688</t>
  </si>
  <si>
    <t>10002,59200000</t>
  </si>
  <si>
    <t>Ranking</t>
  </si>
  <si>
    <t>RewardStr</t>
  </si>
  <si>
    <t>榜单类型</t>
  </si>
  <si>
    <t>排名</t>
  </si>
  <si>
    <t>排行奖励</t>
  </si>
  <si>
    <t>邮件文本</t>
  </si>
  <si>
    <t>奖励文本</t>
  </si>
  <si>
    <t>10002,2000000</t>
  </si>
  <si>
    <t>恭喜你在昨日的魔币榜排行第1名，获得如下奖励，请注意查收！</t>
  </si>
  <si>
    <t>[{"itemType":0,"ItemCounts":2000000,"ItemID":0}]</t>
  </si>
  <si>
    <t>10002,1200000</t>
  </si>
  <si>
    <t>恭喜你在昨日的魔币榜排行第2名，获得如下奖励，请注意查收！</t>
  </si>
  <si>
    <t>[{"itemType":0,"ItemCounts":1200000,"ItemID":0}]</t>
  </si>
  <si>
    <t>恭喜你在昨日的魔币榜排行第3名，获得如下奖励，请注意查收！</t>
  </si>
  <si>
    <t>[{"itemType":0,"ItemCounts":400000,"ItemID":0}]</t>
  </si>
  <si>
    <t>10003,500000</t>
  </si>
  <si>
    <t>恭喜你在昨日的魔导石榜排行第1名，获得如下奖励，请注意查收！</t>
  </si>
  <si>
    <t>[{"itemType":2,"ItemCounts":500000,"ItemID":0}]</t>
  </si>
  <si>
    <t>10003,300000</t>
  </si>
  <si>
    <t>恭喜你在昨日的魔导石榜排行第2名，获得如下奖励，请注意查收！</t>
  </si>
  <si>
    <t>[{"itemType":2,"ItemCounts":300000,"ItemI":0}]</t>
  </si>
  <si>
    <t>10003,100000</t>
  </si>
  <si>
    <t>恭喜你在昨日的魔导石榜排行第3名，获得如下奖励，请注意查收！</t>
  </si>
  <si>
    <t>[{"itemType":2,"ItemCounts":100000,"ItemID":0}]</t>
  </si>
  <si>
    <t>2006,50</t>
  </si>
  <si>
    <t>恭喜你在昨日的关卡榜排行第1名，获得如下奖励，请注意查收！</t>
  </si>
  <si>
    <t>[{"itemType":3,"ItemCounts":50,"ItemID":2006}]</t>
  </si>
  <si>
    <t>2006,30</t>
  </si>
  <si>
    <t>恭喜你在昨日的关卡榜排行第2名，获得如下奖励，请注意查收！</t>
  </si>
  <si>
    <t>[{"itemType":3,"ItemCounts":30,"ItemID":2006}]</t>
  </si>
  <si>
    <t>2006,10</t>
  </si>
  <si>
    <t>恭喜你在昨日的关卡榜排行第3名，获得如下奖励，请注意查收！</t>
  </si>
  <si>
    <t>[{"itemType":3,"ItemCounts":10,"ItemID":2006}]</t>
  </si>
  <si>
    <t>头像id</t>
  </si>
  <si>
    <t>资源名称</t>
  </si>
  <si>
    <t>head_1</t>
  </si>
  <si>
    <t>head_2</t>
  </si>
  <si>
    <t>head_3</t>
  </si>
  <si>
    <t>head_4</t>
  </si>
  <si>
    <t>道具奖励</t>
  </si>
  <si>
    <t>英雄奖励</t>
  </si>
  <si>
    <t>10002,2500000;10003,50000;2001,60</t>
  </si>
  <si>
    <t>205,1;206,1;207,1;208,1</t>
  </si>
  <si>
    <t>Act</t>
  </si>
  <si>
    <t>行为描述</t>
  </si>
  <si>
    <t>充值</t>
  </si>
  <si>
    <t>商城购买道具</t>
  </si>
  <si>
    <t>水晶购买魔币</t>
  </si>
  <si>
    <t>水晶购买强化石</t>
  </si>
  <si>
    <t>魔导石兑换魔币</t>
  </si>
  <si>
    <t>水晶解锁英雄</t>
  </si>
  <si>
    <t>活动领取</t>
  </si>
  <si>
    <t>转盘</t>
  </si>
  <si>
    <t>每日任务奖励</t>
  </si>
  <si>
    <t>签到奖励</t>
  </si>
  <si>
    <t>一本万利任务</t>
  </si>
  <si>
    <t>排行榜奖励</t>
  </si>
  <si>
    <t>关卡闯关奖励</t>
  </si>
  <si>
    <t>VIP每日宝箱</t>
  </si>
  <si>
    <t>月卡每日奖励</t>
  </si>
  <si>
    <t>魔法阵解锁任务</t>
  </si>
  <si>
    <t>新手任务</t>
  </si>
  <si>
    <t>战斗获取魔导石</t>
  </si>
  <si>
    <t>打开boss宝箱</t>
  </si>
  <si>
    <t>瓜分魔导石奖池</t>
  </si>
  <si>
    <t>领取邮件</t>
  </si>
  <si>
    <t>Min</t>
  </si>
  <si>
    <t>Max</t>
  </si>
  <si>
    <t>Zdamount</t>
  </si>
  <si>
    <t>Recbuff</t>
  </si>
  <si>
    <t>OnceBullet</t>
  </si>
  <si>
    <t>OncePrice</t>
  </si>
  <si>
    <t>区间id</t>
  </si>
  <si>
    <t>单笔充值下限</t>
  </si>
  <si>
    <t>单笔充值上限</t>
  </si>
  <si>
    <t>子弹数量</t>
  </si>
  <si>
    <t>buff值/1000</t>
  </si>
  <si>
    <t>必中子弹数</t>
  </si>
  <si>
    <t>必中怪倍率</t>
  </si>
  <si>
    <t>15,80</t>
  </si>
  <si>
    <t>Buff</t>
  </si>
  <si>
    <t>Ground</t>
  </si>
  <si>
    <t>Bullet</t>
  </si>
  <si>
    <t>座位id</t>
  </si>
  <si>
    <t>buff/1000</t>
  </si>
  <si>
    <t>概率%/1000</t>
  </si>
  <si>
    <t>生效场次</t>
  </si>
  <si>
    <t>15,81</t>
  </si>
  <si>
    <t>20,51</t>
  </si>
  <si>
    <t>20,50</t>
  </si>
  <si>
    <t>15,82</t>
  </si>
  <si>
    <t>20,52</t>
  </si>
  <si>
    <t>15,88</t>
  </si>
  <si>
    <t>20,58</t>
  </si>
  <si>
    <t>15,83</t>
  </si>
  <si>
    <t>20,53</t>
  </si>
  <si>
    <t>15,84</t>
  </si>
  <si>
    <t>20,54</t>
  </si>
  <si>
    <t>15,85</t>
  </si>
  <si>
    <t>20,55</t>
  </si>
  <si>
    <t>15,86</t>
  </si>
  <si>
    <t>20,56</t>
  </si>
  <si>
    <t>15,87</t>
  </si>
  <si>
    <t>20,57</t>
  </si>
  <si>
    <t>15,89</t>
  </si>
  <si>
    <t>20,59</t>
  </si>
  <si>
    <t>15,95</t>
  </si>
  <si>
    <t>20,65</t>
  </si>
  <si>
    <t>15,90</t>
  </si>
  <si>
    <t>20,60</t>
  </si>
  <si>
    <t>15,91</t>
  </si>
  <si>
    <t>20,61</t>
  </si>
  <si>
    <t>15,92</t>
  </si>
  <si>
    <t>20,62</t>
  </si>
  <si>
    <t>15,93</t>
  </si>
  <si>
    <t>20,63</t>
  </si>
  <si>
    <t>15,94</t>
  </si>
  <si>
    <t>20,64</t>
  </si>
  <si>
    <t>15,96</t>
  </si>
  <si>
    <t>20,66</t>
  </si>
  <si>
    <t>Win</t>
  </si>
  <si>
    <t>Protectionmax</t>
  </si>
  <si>
    <t>Protectionmin</t>
  </si>
  <si>
    <t>Buffmax</t>
  </si>
  <si>
    <t>Buffmin</t>
  </si>
  <si>
    <t>Protectionnum</t>
  </si>
  <si>
    <t>策略id</t>
  </si>
  <si>
    <t>玩家赢取金币数量</t>
  </si>
  <si>
    <t>保护最大值</t>
  </si>
  <si>
    <t>保护最小值</t>
  </si>
  <si>
    <t>BUFF最大值/1000</t>
  </si>
  <si>
    <t>BUFF最小值/1000</t>
  </si>
  <si>
    <t>保护流水值</t>
  </si>
  <si>
    <r>
      <rPr>
        <sz val="11"/>
        <color theme="1"/>
        <rFont val="等线"/>
        <charset val="134"/>
        <scheme val="minor"/>
      </rPr>
      <t>Min</t>
    </r>
    <r>
      <rPr>
        <sz val="11"/>
        <color theme="1"/>
        <rFont val="等线"/>
        <charset val="134"/>
        <scheme val="minor"/>
      </rPr>
      <t>Recharge</t>
    </r>
  </si>
  <si>
    <t>MaxRecharge</t>
  </si>
  <si>
    <t>IsNew</t>
  </si>
  <si>
    <t>DownLimitPerc</t>
  </si>
  <si>
    <t>DownLimitBuff</t>
  </si>
  <si>
    <t>UpLimitPerc</t>
  </si>
  <si>
    <t>UpLimitBuff</t>
  </si>
  <si>
    <t>状态流水号</t>
  </si>
  <si>
    <t>充值额下限</t>
  </si>
  <si>
    <t>充值额上限</t>
  </si>
  <si>
    <t>是否新手（0只有减益，1有减有增）</t>
  </si>
  <si>
    <t>减益限制百分比</t>
  </si>
  <si>
    <t>减益Buff（百分比）</t>
  </si>
  <si>
    <t>增益限制百分比</t>
  </si>
  <si>
    <t>增益Buff（百分比）</t>
  </si>
  <si>
    <t>Viplevel</t>
  </si>
  <si>
    <t>GiftNumber</t>
  </si>
  <si>
    <t>奖励id</t>
  </si>
  <si>
    <t>礼包数量</t>
  </si>
  <si>
    <t>10002,200</t>
  </si>
  <si>
    <t>10002,5000</t>
  </si>
  <si>
    <t>10002,10000;2001,20</t>
  </si>
  <si>
    <t>10002,50000;2001,50</t>
  </si>
  <si>
    <t>10002,100000;2001,100</t>
  </si>
  <si>
    <t>10002,200000;2001,150</t>
  </si>
  <si>
    <t>10002,500000;2001,200</t>
  </si>
  <si>
    <t>10002,1000000;2001,300</t>
  </si>
  <si>
    <t>10002,2000000;2001,400</t>
  </si>
  <si>
    <t>10002,3000000;2001,500</t>
  </si>
  <si>
    <t>10002,5000000;2001,600</t>
  </si>
  <si>
    <t>10003,750</t>
  </si>
  <si>
    <t>10003,2000</t>
  </si>
  <si>
    <t>10003,4250</t>
  </si>
  <si>
    <t>10003,6500</t>
  </si>
  <si>
    <t>10003,24000</t>
  </si>
  <si>
    <t>10003,45000</t>
  </si>
  <si>
    <t>Extra</t>
  </si>
  <si>
    <t>Tax</t>
  </si>
  <si>
    <t>悬赏奖励id</t>
  </si>
  <si>
    <t>击败1只boss增加的奖励数量</t>
  </si>
  <si>
    <t>最大值倍率</t>
  </si>
  <si>
    <t>抽税/100000</t>
  </si>
  <si>
    <t>10002</t>
  </si>
  <si>
    <t>300</t>
  </si>
  <si>
    <t>3000</t>
  </si>
  <si>
    <t>10003</t>
  </si>
  <si>
    <t>50</t>
  </si>
  <si>
    <t>商品ID</t>
  </si>
  <si>
    <t>礼包内容奖励</t>
  </si>
  <si>
    <t>注入奖池数量/魔币</t>
  </si>
  <si>
    <t>魔导石换水晶</t>
  </si>
  <si>
    <t>10002,2400000;10003,15000;2001,5;10007,30</t>
  </si>
  <si>
    <t>10002,7840000;10003,49000;2001,25;10007,100</t>
  </si>
  <si>
    <t>10002,26240000;10003,164000;2001,80;10007,336</t>
  </si>
  <si>
    <t>10002,51840000;10003,324000;2001,200;10007,666</t>
  </si>
  <si>
    <t>奖励ID</t>
  </si>
  <si>
    <t>累计充值金额</t>
  </si>
  <si>
    <t>累充奖励奖励</t>
  </si>
  <si>
    <t>2001,2;10002,2888</t>
  </si>
  <si>
    <t>2001,5;10003,2400</t>
  </si>
  <si>
    <t>2001,15;10002,19000</t>
  </si>
  <si>
    <t>2001,22;10003,6000</t>
  </si>
  <si>
    <t>2001,38;10002,50000</t>
  </si>
  <si>
    <t>2001,64;10003,16000</t>
  </si>
  <si>
    <t>2001,100;10002,150000</t>
  </si>
  <si>
    <t>2001,150;10003,40000</t>
  </si>
  <si>
    <t>2001,250;10002,300000</t>
  </si>
  <si>
    <t>2001,450;10003,100000</t>
  </si>
  <si>
    <t>2001,600;10002,600000</t>
  </si>
  <si>
    <t>2001,1050;10003,200000</t>
  </si>
  <si>
    <t>2001,1600;10006,25;10002,1000000</t>
  </si>
  <si>
    <t>2001,2500;10006,50;10003,200000</t>
  </si>
  <si>
    <t>榜单id</t>
  </si>
  <si>
    <t>税率/100000</t>
  </si>
  <si>
    <t>您昨日在巅峰榜复苏苔原日榜排名第x。恭喜您获得如下奖励，请注意查收！</t>
  </si>
  <si>
    <t>您上周在巅峰榜复苏苔原周榜排名第x。恭喜您获得如下奖励，请注意查收！</t>
  </si>
  <si>
    <t>您昨日在巅峰榜风蚀峡谷日榜排名第x。恭喜您获得如下奖励，请注意查收！</t>
  </si>
  <si>
    <t>您上周在巅峰榜风蚀峡谷周榜排名第x。恭喜您获得如下奖励，请注意查收！</t>
  </si>
  <si>
    <t>Give</t>
  </si>
  <si>
    <t>Preferential</t>
  </si>
  <si>
    <t>基础(魔币)</t>
  </si>
  <si>
    <t>赠送魔币</t>
  </si>
  <si>
    <t>百分比显示</t>
  </si>
  <si>
    <t>超时解锁价格（魔导石）</t>
  </si>
  <si>
    <t>200%</t>
  </si>
  <si>
    <r>
      <rPr>
        <sz val="11"/>
        <color theme="1"/>
        <rFont val="等线"/>
        <charset val="134"/>
        <scheme val="minor"/>
      </rPr>
      <t>2</t>
    </r>
    <r>
      <rPr>
        <sz val="11"/>
        <color theme="1"/>
        <rFont val="等线"/>
        <charset val="134"/>
        <scheme val="minor"/>
      </rPr>
      <t>13%</t>
    </r>
  </si>
  <si>
    <t>225%</t>
  </si>
  <si>
    <t>238%</t>
  </si>
  <si>
    <t>250%</t>
  </si>
  <si>
    <t>0</t>
  </si>
  <si>
    <t>任务进度</t>
  </si>
  <si>
    <t>兑换使用30万魔导石</t>
  </si>
  <si>
    <t>兑换使用50万魔导石</t>
  </si>
  <si>
    <t>兑换使用150万魔导石</t>
  </si>
  <si>
    <t>2001,40</t>
  </si>
  <si>
    <t>兑换使用300万魔导石</t>
  </si>
  <si>
    <t>2001,60</t>
  </si>
  <si>
    <t>兑换使用600万魔导石</t>
  </si>
  <si>
    <t>2001,61</t>
  </si>
  <si>
    <t>兑换使用1000万魔导石</t>
  </si>
  <si>
    <t>2001,62</t>
  </si>
  <si>
    <t>兑换使用1500万魔导石</t>
  </si>
  <si>
    <t>2001,63</t>
  </si>
  <si>
    <t>兑换使用2000万魔导石</t>
  </si>
  <si>
    <t>2001,64</t>
  </si>
  <si>
    <t>兑换使用3000万魔导石</t>
  </si>
  <si>
    <t>2001,65</t>
  </si>
  <si>
    <t>兑换使用5000万魔导石</t>
  </si>
  <si>
    <t>2001,66</t>
  </si>
  <si>
    <t>在兑换功能中使用5千万魔导石即可解锁新英雄</t>
  </si>
  <si>
    <t>501,1</t>
  </si>
  <si>
    <t>Rarity</t>
  </si>
  <si>
    <t>奖励类型</t>
  </si>
  <si>
    <t>概率/1000</t>
  </si>
  <si>
    <t>珍稀度1蓝2紫3金</t>
  </si>
  <si>
    <t>Times</t>
  </si>
  <si>
    <t>Deplete</t>
  </si>
  <si>
    <t>Relevancy</t>
  </si>
  <si>
    <t>Class</t>
  </si>
  <si>
    <t>行为id</t>
  </si>
  <si>
    <t>砸蛋类型</t>
  </si>
  <si>
    <t>砸蛋次数</t>
  </si>
  <si>
    <t>消耗道具数量</t>
  </si>
  <si>
    <t>关联奖励池</t>
  </si>
  <si>
    <t>奖励种类</t>
  </si>
  <si>
    <t>赠送材料数量</t>
  </si>
  <si>
    <t>幸运签类型</t>
  </si>
  <si>
    <t>奖励魔币</t>
  </si>
  <si>
    <t>奖池增加数量</t>
  </si>
  <si>
    <t>(所有人)中奖瓜分百分比/100</t>
  </si>
  <si>
    <t>参与奖强化石数量</t>
  </si>
  <si>
    <t>惊喜签</t>
  </si>
  <si>
    <t>10002,480000;2001,3</t>
  </si>
  <si>
    <t>宝藏签</t>
  </si>
  <si>
    <t>10002,10490000;2001,20</t>
  </si>
  <si>
    <t>奇迹签</t>
  </si>
  <si>
    <t>10002,32980000;2001,50</t>
  </si>
  <si>
    <t>TimesList</t>
  </si>
  <si>
    <t>NumberList</t>
  </si>
  <si>
    <t>名次id</t>
  </si>
  <si>
    <t>次数榜(魔币)</t>
  </si>
  <si>
    <t>数量榜单（魔导石）</t>
  </si>
  <si>
    <t>MagicStone</t>
  </si>
  <si>
    <t>TaskNum</t>
  </si>
  <si>
    <t>Time</t>
  </si>
  <si>
    <t>TaskProgress</t>
  </si>
  <si>
    <t>StageReward</t>
  </si>
  <si>
    <t>魔导石奖励（展示）</t>
  </si>
  <si>
    <t>任务目标数量</t>
  </si>
  <si>
    <t>礼包价格</t>
  </si>
  <si>
    <t>任务时间/h</t>
  </si>
  <si>
    <t>任务进度%</t>
  </si>
  <si>
    <t>阶段奖励数量</t>
  </si>
  <si>
    <t>20,40,60,80,100</t>
  </si>
  <si>
    <t>176000,176000,176000,176000,176000</t>
  </si>
  <si>
    <t>776000,776000,776000,776000,776000</t>
  </si>
  <si>
    <t>1776000,1776000,1776000,1776000,1776000</t>
  </si>
  <si>
    <t>2592000,2592000,2592000,2592000,2592000</t>
  </si>
  <si>
    <t>盲盒次数</t>
  </si>
  <si>
    <t>盲盒次数榜(魔币)</t>
  </si>
  <si>
    <t>Multiple</t>
  </si>
  <si>
    <t>暴击倍数</t>
  </si>
  <si>
    <t>原版</t>
  </si>
  <si>
    <t>CalculatedValue</t>
  </si>
  <si>
    <t>TaskType</t>
  </si>
  <si>
    <t>奖励波动系数%</t>
  </si>
  <si>
    <t>奖励计算值</t>
  </si>
  <si>
    <t>在战斗中使用1亿魔币</t>
  </si>
  <si>
    <t>在战斗中使用3亿魔币</t>
  </si>
  <si>
    <t>在战斗中使用8亿魔币</t>
  </si>
  <si>
    <t>在战斗中使用15亿魔币</t>
  </si>
  <si>
    <t>在战斗中使用30亿魔币</t>
  </si>
  <si>
    <t>在战斗中使用50亿魔币</t>
  </si>
  <si>
    <t>在战斗中使用80亿魔币</t>
  </si>
  <si>
    <t>在战斗中使用120亿魔币</t>
  </si>
  <si>
    <t>在战斗中使用180亿魔币</t>
  </si>
  <si>
    <t>在战斗中使用250亿魔币</t>
  </si>
  <si>
    <t>在战斗中使用320亿魔币</t>
  </si>
  <si>
    <t>在战斗中使用400亿魔币</t>
  </si>
  <si>
    <t>在战斗中使用500亿魔币</t>
  </si>
  <si>
    <t>在战斗中使用600亿魔币</t>
  </si>
  <si>
    <t>在战斗中使用700亿魔币</t>
  </si>
  <si>
    <t>在战斗中使用800亿魔币</t>
  </si>
  <si>
    <t>在战斗中使用900亿魔币</t>
  </si>
  <si>
    <t>在战斗中使用1000亿魔币</t>
  </si>
  <si>
    <t>累计充值168元</t>
  </si>
  <si>
    <t>累计充值528元</t>
  </si>
  <si>
    <t>累计充值888元</t>
  </si>
  <si>
    <t>累计充值1888元</t>
  </si>
  <si>
    <t>累计充值2888元</t>
  </si>
  <si>
    <t>累计充值3888元</t>
  </si>
  <si>
    <t>累计充值6888元</t>
  </si>
  <si>
    <t>累计充值9888元</t>
  </si>
  <si>
    <t>累计充值12888元</t>
  </si>
  <si>
    <t>累计充值15888元</t>
  </si>
  <si>
    <t>概率配置%</t>
  </si>
  <si>
    <t>存钱罐id</t>
  </si>
  <si>
    <t>数量上限</t>
  </si>
  <si>
    <t>赠送魔币数量</t>
  </si>
  <si>
    <t>打开价格</t>
  </si>
  <si>
    <t>币值</t>
  </si>
  <si>
    <t>奖励抽奖券数量</t>
  </si>
  <si>
    <t>累计登录1天</t>
  </si>
  <si>
    <t>累计登录2天</t>
  </si>
  <si>
    <t>累计登录3天</t>
  </si>
  <si>
    <t>累计登录4天</t>
  </si>
  <si>
    <t>累计登录5天</t>
  </si>
  <si>
    <t>累计登录6天</t>
  </si>
  <si>
    <t>累计登录7天</t>
  </si>
  <si>
    <t>累计登录8天</t>
  </si>
  <si>
    <t>累计登录9天</t>
  </si>
  <si>
    <t>累计登录10天</t>
  </si>
  <si>
    <t>累计登录11天</t>
  </si>
  <si>
    <t>累计登录12天</t>
  </si>
  <si>
    <t>累计登录13天</t>
  </si>
  <si>
    <t>累计登录14天</t>
  </si>
  <si>
    <t>累计登录15天</t>
  </si>
  <si>
    <t>累计登录16天</t>
  </si>
  <si>
    <t>累计登录17天</t>
  </si>
  <si>
    <t>累计登录18天</t>
  </si>
  <si>
    <t>累计登录19天</t>
  </si>
  <si>
    <t>累计登录20天</t>
  </si>
  <si>
    <t>累计登录21天</t>
  </si>
  <si>
    <t>累计登录22天</t>
  </si>
  <si>
    <t>累计登录23天</t>
  </si>
  <si>
    <t>累计登录24天</t>
  </si>
  <si>
    <t>累计登录25天</t>
  </si>
  <si>
    <t>累计登录26天</t>
  </si>
  <si>
    <t>累计登录27天</t>
  </si>
  <si>
    <t>累计登录28天</t>
  </si>
  <si>
    <t>累计登录29天</t>
  </si>
  <si>
    <t>累计登录30天</t>
  </si>
  <si>
    <t>累计充值任意金额1天</t>
  </si>
  <si>
    <t>累计充值任意金额2天</t>
  </si>
  <si>
    <t>累计充值任意金额3天</t>
  </si>
  <si>
    <t>累计充值任意金额4天</t>
  </si>
  <si>
    <t>累计充值任意金额5天</t>
  </si>
  <si>
    <t>累计充值任意金额6天</t>
  </si>
  <si>
    <t>累计充值任意金额7天</t>
  </si>
  <si>
    <t>累计充值任意金额8天</t>
  </si>
  <si>
    <t>累计充值任意金额9天</t>
  </si>
  <si>
    <t>累计充值任意金额10天</t>
  </si>
  <si>
    <t>累计充值任意金额11天</t>
  </si>
  <si>
    <t>累计充值任意金额12天</t>
  </si>
  <si>
    <t>累计充值任意金额13天</t>
  </si>
  <si>
    <t>累计充值任意金额14天</t>
  </si>
  <si>
    <t>累计充值任意金额15天</t>
  </si>
  <si>
    <t>累计充值任意金额16天</t>
  </si>
  <si>
    <t>累计充值任意金额17天</t>
  </si>
  <si>
    <t>累计充值任意金额18天</t>
  </si>
  <si>
    <t>累计充值任意金额19天</t>
  </si>
  <si>
    <t>累计充值任意金额20天</t>
  </si>
  <si>
    <t>累计充值任意金额21天</t>
  </si>
  <si>
    <t>累计充值任意金额22天</t>
  </si>
  <si>
    <t>累计充值任意金额23天</t>
  </si>
  <si>
    <t>累计充值任意金额24天</t>
  </si>
  <si>
    <t>累计充值任意金额25天</t>
  </si>
  <si>
    <t>累计充值任意金额26天</t>
  </si>
  <si>
    <t>累计充值任意金额27天</t>
  </si>
  <si>
    <t>累计充值任意金额28天</t>
  </si>
  <si>
    <t>累计充值任意金额29天</t>
  </si>
  <si>
    <t>累计充值任意金额30天</t>
  </si>
  <si>
    <t>累计消耗1亿晶币</t>
  </si>
  <si>
    <t>夺宝券数量</t>
  </si>
  <si>
    <t>晶币数量</t>
  </si>
  <si>
    <t>每日限购次数</t>
  </si>
  <si>
    <t>金币比例</t>
  </si>
  <si>
    <r>
      <rPr>
        <sz val="11"/>
        <color rgb="FF006100"/>
        <rFont val="等线"/>
        <charset val="134"/>
        <scheme val="minor"/>
      </rPr>
      <t>I</t>
    </r>
    <r>
      <rPr>
        <sz val="11"/>
        <color rgb="FF006100"/>
        <rFont val="等线"/>
        <charset val="134"/>
        <scheme val="minor"/>
      </rPr>
      <t>sItem</t>
    </r>
  </si>
  <si>
    <t>Seat</t>
  </si>
  <si>
    <t>ShowIndex</t>
  </si>
  <si>
    <r>
      <rPr>
        <sz val="11"/>
        <color rgb="FF9C0006"/>
        <rFont val="等线"/>
        <charset val="134"/>
        <scheme val="minor"/>
      </rPr>
      <t>i</t>
    </r>
    <r>
      <rPr>
        <sz val="11"/>
        <color rgb="FF9C0006"/>
        <rFont val="等线"/>
        <charset val="134"/>
        <scheme val="minor"/>
      </rPr>
      <t>nt</t>
    </r>
  </si>
  <si>
    <t>数量</t>
  </si>
  <si>
    <t>保底次数（0为没有保底）</t>
  </si>
  <si>
    <t>是否是道具</t>
  </si>
  <si>
    <t>转盘位置</t>
  </si>
  <si>
    <t>显示优先级()</t>
  </si>
  <si>
    <t>实物价值</t>
  </si>
  <si>
    <t>Hp</t>
  </si>
  <si>
    <t>Movement</t>
  </si>
  <si>
    <t>Defence</t>
  </si>
  <si>
    <t xml:space="preserve">Unlock </t>
  </si>
  <si>
    <t>战车id</t>
  </si>
  <si>
    <t>品质1蓝2紫3橙</t>
  </si>
  <si>
    <t>战车名称</t>
  </si>
  <si>
    <t>生命</t>
  </si>
  <si>
    <t>移速</t>
  </si>
  <si>
    <t>防御</t>
  </si>
  <si>
    <t>解锁条件（VIP等级）</t>
  </si>
  <si>
    <t>解锁条件（描述）</t>
  </si>
  <si>
    <t>对应皮肤</t>
  </si>
  <si>
    <t>撕裂者</t>
  </si>
  <si>
    <t>100</t>
  </si>
  <si>
    <t>默认解锁</t>
  </si>
  <si>
    <t>机枪</t>
  </si>
  <si>
    <t>120</t>
  </si>
  <si>
    <t>购买首充礼包解锁</t>
  </si>
  <si>
    <t>火焰</t>
  </si>
  <si>
    <t>重锤火炮</t>
  </si>
  <si>
    <t>125</t>
  </si>
  <si>
    <t>VIP等级达到3级解锁</t>
  </si>
  <si>
    <t>火箭</t>
  </si>
  <si>
    <t>陨星天罚</t>
  </si>
  <si>
    <t>VIP等级达到5级解锁</t>
  </si>
  <si>
    <t>加农炮</t>
  </si>
  <si>
    <t>獠牙守卫</t>
  </si>
  <si>
    <t>VIP等级达到6级解锁</t>
  </si>
  <si>
    <t>短枪</t>
  </si>
  <si>
    <t>旋齿碎甲兽</t>
  </si>
  <si>
    <t>VIP等级达到7级解锁</t>
  </si>
  <si>
    <t>锯枪</t>
  </si>
  <si>
    <t>光束裁决者</t>
  </si>
  <si>
    <t>VIP等级达到8级解锁</t>
  </si>
  <si>
    <t>激光</t>
  </si>
  <si>
    <t>Price</t>
    <phoneticPr fontId="12" type="noConversion"/>
  </si>
  <si>
    <t>REDMI K90 至尊版</t>
    <phoneticPr fontId="12" type="noConversion"/>
  </si>
  <si>
    <t>在转盘活动中兑换实物奖励：
iPhone17  256GB</t>
    <phoneticPr fontId="12" type="noConversion"/>
  </si>
  <si>
    <t>在转盘活动中兑换实物奖励：
REDMI K90 至尊版 12GB+512G</t>
    <phoneticPr fontId="1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</si>
</sst>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_ "/>
    <numFmt numFmtId="177" formatCode="0.0%"/>
  </numFmts>
  <fonts count="15" x14ac:knownFonts="1">
    <font>
      <sz val="11"/>
      <color theme="1"/>
      <name val="等线"/>
      <charset val="134"/>
      <scheme val="minor"/>
    </font>
    <font>
      <sz val="11"/>
      <color rgb="FF006100"/>
      <name val="等线"/>
      <charset val="134"/>
      <scheme val="minor"/>
    </font>
    <font>
      <sz val="11"/>
      <color rgb="FF9C0006"/>
      <name val="等线"/>
      <charset val="134"/>
      <scheme val="minor"/>
    </font>
    <font>
      <sz val="11"/>
      <color rgb="FF000000"/>
      <name val="等线"/>
      <charset val="134"/>
    </font>
    <font>
      <sz val="11"/>
      <name val="等线"/>
      <charset val="134"/>
      <scheme val="minor"/>
    </font>
    <font>
      <sz val="12"/>
      <color theme="1"/>
      <name val="等线"/>
      <charset val="134"/>
      <scheme val="minor"/>
    </font>
    <font>
      <sz val="9"/>
      <color theme="1"/>
      <name val="微软雅黑"/>
      <charset val="134"/>
    </font>
    <font>
      <b/>
      <sz val="9"/>
      <color theme="1"/>
      <name val="微软雅黑"/>
      <charset val="134"/>
    </font>
    <font>
      <b/>
      <sz val="11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b/>
      <sz val="9"/>
      <name val="宋体"/>
      <charset val="134"/>
    </font>
    <font>
      <sz val="9"/>
      <name val="宋体"/>
      <charset val="134"/>
    </font>
    <font>
      <sz val="9"/>
      <name val="等线"/>
      <family val="3"/>
      <charset val="134"/>
      <scheme val="minor"/>
    </font>
    <font>
      <sz val="11"/>
      <color rgb="FF006100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 tint="0.39893795587023528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C0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4">
    <xf numFmtId="0" fontId="0" fillId="0" borderId="0"/>
    <xf numFmtId="9" fontId="9" fillId="0" borderId="0" applyFont="0" applyFill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</cellStyleXfs>
  <cellXfs count="86">
    <xf numFmtId="0" fontId="0" fillId="0" borderId="0" xfId="0"/>
    <xf numFmtId="0" fontId="0" fillId="0" borderId="0" xfId="0" applyAlignment="1">
      <alignment horizontal="center"/>
    </xf>
    <xf numFmtId="0" fontId="1" fillId="2" borderId="1" xfId="2" applyBorder="1" applyAlignment="1">
      <alignment horizontal="center"/>
    </xf>
    <xf numFmtId="0" fontId="0" fillId="3" borderId="0" xfId="0" applyFill="1" applyAlignment="1">
      <alignment horizontal="center" vertical="center"/>
    </xf>
    <xf numFmtId="49" fontId="0" fillId="3" borderId="0" xfId="0" applyNumberFormat="1" applyFill="1" applyAlignment="1">
      <alignment horizontal="center" vertical="center"/>
    </xf>
    <xf numFmtId="0" fontId="2" fillId="4" borderId="1" xfId="3" applyBorder="1" applyAlignment="1">
      <alignment horizontal="center"/>
    </xf>
    <xf numFmtId="49" fontId="0" fillId="0" borderId="0" xfId="0" applyNumberFormat="1" applyAlignment="1">
      <alignment horizontal="center" vertical="center"/>
    </xf>
    <xf numFmtId="0" fontId="1" fillId="2" borderId="0" xfId="2" applyBorder="1" applyAlignment="1">
      <alignment horizontal="center"/>
    </xf>
    <xf numFmtId="0" fontId="1" fillId="2" borderId="0" xfId="2" applyAlignment="1">
      <alignment horizontal="center"/>
    </xf>
    <xf numFmtId="0" fontId="2" fillId="4" borderId="0" xfId="3" applyBorder="1" applyAlignment="1">
      <alignment horizontal="center"/>
    </xf>
    <xf numFmtId="0" fontId="2" fillId="4" borderId="0" xfId="3" applyAlignment="1">
      <alignment horizontal="center"/>
    </xf>
    <xf numFmtId="0" fontId="0" fillId="0" borderId="0" xfId="0" applyAlignment="1">
      <alignment horizontal="center" vertical="center"/>
    </xf>
    <xf numFmtId="3" fontId="0" fillId="0" borderId="0" xfId="0" applyNumberFormat="1" applyAlignment="1">
      <alignment horizontal="center"/>
    </xf>
    <xf numFmtId="0" fontId="3" fillId="0" borderId="0" xfId="0" applyFont="1" applyAlignment="1">
      <alignment horizontal="center"/>
    </xf>
    <xf numFmtId="0" fontId="0" fillId="3" borderId="0" xfId="0" applyFill="1" applyAlignment="1">
      <alignment horizontal="center"/>
    </xf>
    <xf numFmtId="176" fontId="0" fillId="0" borderId="0" xfId="0" applyNumberFormat="1" applyAlignment="1">
      <alignment horizontal="center"/>
    </xf>
    <xf numFmtId="9" fontId="3" fillId="0" borderId="0" xfId="0" applyNumberFormat="1" applyFont="1" applyAlignment="1">
      <alignment horizontal="center"/>
    </xf>
    <xf numFmtId="0" fontId="4" fillId="0" borderId="0" xfId="0" applyFont="1" applyAlignment="1">
      <alignment horizontal="center"/>
    </xf>
    <xf numFmtId="0" fontId="0" fillId="5" borderId="0" xfId="0" applyFill="1" applyAlignment="1">
      <alignment horizontal="center" vertical="center"/>
    </xf>
    <xf numFmtId="49" fontId="0" fillId="0" borderId="0" xfId="0" applyNumberFormat="1" applyAlignment="1">
      <alignment horizontal="center"/>
    </xf>
    <xf numFmtId="49" fontId="0" fillId="0" borderId="0" xfId="0" applyNumberFormat="1"/>
    <xf numFmtId="49" fontId="1" fillId="2" borderId="1" xfId="2" applyNumberFormat="1" applyBorder="1" applyAlignment="1">
      <alignment horizontal="center"/>
    </xf>
    <xf numFmtId="49" fontId="2" fillId="4" borderId="1" xfId="3" applyNumberFormat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0" xfId="0" applyFill="1" applyAlignment="1">
      <alignment horizontal="center" vertical="center"/>
    </xf>
    <xf numFmtId="0" fontId="1" fillId="6" borderId="1" xfId="2" applyFill="1" applyBorder="1" applyAlignment="1">
      <alignment horizontal="center"/>
    </xf>
    <xf numFmtId="49" fontId="0" fillId="6" borderId="0" xfId="0" applyNumberFormat="1" applyFill="1" applyAlignment="1">
      <alignment horizontal="center" vertical="center"/>
    </xf>
    <xf numFmtId="0" fontId="2" fillId="6" borderId="1" xfId="3" applyFill="1" applyBorder="1" applyAlignment="1">
      <alignment horizontal="center"/>
    </xf>
    <xf numFmtId="49" fontId="0" fillId="6" borderId="0" xfId="0" applyNumberFormat="1" applyFill="1" applyAlignment="1">
      <alignment horizontal="center"/>
    </xf>
    <xf numFmtId="0" fontId="0" fillId="7" borderId="0" xfId="0" applyFill="1" applyAlignment="1">
      <alignment horizontal="center"/>
    </xf>
    <xf numFmtId="0" fontId="1" fillId="7" borderId="1" xfId="2" applyFill="1" applyBorder="1" applyAlignment="1">
      <alignment horizontal="center"/>
    </xf>
    <xf numFmtId="0" fontId="0" fillId="7" borderId="0" xfId="0" applyFill="1" applyAlignment="1">
      <alignment horizontal="center" vertical="center"/>
    </xf>
    <xf numFmtId="0" fontId="2" fillId="7" borderId="1" xfId="3" applyFill="1" applyBorder="1" applyAlignment="1">
      <alignment horizontal="center"/>
    </xf>
    <xf numFmtId="49" fontId="0" fillId="7" borderId="0" xfId="0" applyNumberFormat="1" applyFill="1" applyAlignment="1">
      <alignment horizontal="center" vertical="center"/>
    </xf>
    <xf numFmtId="49" fontId="0" fillId="7" borderId="0" xfId="0" applyNumberFormat="1" applyFill="1" applyAlignment="1">
      <alignment horizontal="center"/>
    </xf>
    <xf numFmtId="0" fontId="0" fillId="0" borderId="0" xfId="0" applyAlignment="1">
      <alignment vertical="center"/>
    </xf>
    <xf numFmtId="0" fontId="0" fillId="3" borderId="0" xfId="0" applyFill="1" applyAlignment="1">
      <alignment horizontal="center" vertical="center" wrapText="1"/>
    </xf>
    <xf numFmtId="49" fontId="0" fillId="3" borderId="0" xfId="0" applyNumberFormat="1" applyFill="1" applyAlignment="1">
      <alignment horizontal="center" vertical="center" wrapText="1"/>
    </xf>
    <xf numFmtId="0" fontId="5" fillId="0" borderId="0" xfId="0" applyFont="1" applyAlignment="1">
      <alignment horizontal="center"/>
    </xf>
    <xf numFmtId="10" fontId="0" fillId="0" borderId="0" xfId="0" applyNumberFormat="1" applyAlignment="1">
      <alignment horizontal="center"/>
    </xf>
    <xf numFmtId="0" fontId="0" fillId="0" borderId="0" xfId="0" applyAlignment="1">
      <alignment horizontal="left"/>
    </xf>
    <xf numFmtId="0" fontId="1" fillId="2" borderId="1" xfId="2" applyBorder="1" applyAlignment="1">
      <alignment horizontal="left"/>
    </xf>
    <xf numFmtId="0" fontId="6" fillId="3" borderId="0" xfId="0" applyFont="1" applyFill="1" applyAlignment="1">
      <alignment horizontal="center" vertical="center"/>
    </xf>
    <xf numFmtId="0" fontId="2" fillId="4" borderId="1" xfId="3" applyBorder="1" applyAlignment="1">
      <alignment horizontal="left"/>
    </xf>
    <xf numFmtId="0" fontId="7" fillId="0" borderId="0" xfId="0" applyFont="1" applyAlignment="1">
      <alignment horizontal="left" vertical="center"/>
    </xf>
    <xf numFmtId="0" fontId="7" fillId="0" borderId="0" xfId="0" applyFont="1" applyAlignment="1">
      <alignment horizontal="center" vertical="center"/>
    </xf>
    <xf numFmtId="0" fontId="6" fillId="0" borderId="0" xfId="0" applyFont="1" applyAlignment="1">
      <alignment horizontal="left" vertical="center"/>
    </xf>
    <xf numFmtId="0" fontId="6" fillId="0" borderId="0" xfId="0" applyFont="1" applyAlignment="1">
      <alignment horizontal="center" vertical="center"/>
    </xf>
    <xf numFmtId="10" fontId="6" fillId="0" borderId="0" xfId="1" applyNumberFormat="1" applyFont="1" applyAlignment="1">
      <alignment horizontal="left" vertical="center"/>
    </xf>
    <xf numFmtId="176" fontId="0" fillId="3" borderId="0" xfId="0" applyNumberFormat="1" applyFill="1" applyAlignment="1">
      <alignment horizontal="center" vertical="center"/>
    </xf>
    <xf numFmtId="176" fontId="1" fillId="2" borderId="1" xfId="2" applyNumberFormat="1" applyBorder="1" applyAlignment="1">
      <alignment horizontal="center"/>
    </xf>
    <xf numFmtId="176" fontId="0" fillId="3" borderId="0" xfId="0" applyNumberFormat="1" applyFill="1" applyAlignment="1">
      <alignment horizontal="center" vertical="center" wrapText="1"/>
    </xf>
    <xf numFmtId="176" fontId="2" fillId="4" borderId="1" xfId="3" applyNumberFormat="1" applyBorder="1" applyAlignment="1">
      <alignment horizontal="center"/>
    </xf>
    <xf numFmtId="49" fontId="0" fillId="3" borderId="0" xfId="0" applyNumberFormat="1" applyFill="1" applyAlignment="1">
      <alignment horizontal="center"/>
    </xf>
    <xf numFmtId="0" fontId="8" fillId="0" borderId="0" xfId="0" applyFont="1" applyAlignment="1">
      <alignment horizontal="center"/>
    </xf>
    <xf numFmtId="0" fontId="1" fillId="2" borderId="1" xfId="2" applyBorder="1" applyAlignment="1"/>
    <xf numFmtId="0" fontId="2" fillId="4" borderId="1" xfId="3" applyBorder="1" applyAlignment="1"/>
    <xf numFmtId="0" fontId="0" fillId="7" borderId="0" xfId="0" applyFill="1"/>
    <xf numFmtId="0" fontId="1" fillId="7" borderId="1" xfId="2" applyFill="1" applyBorder="1" applyAlignment="1"/>
    <xf numFmtId="0" fontId="2" fillId="7" borderId="1" xfId="3" applyFill="1" applyBorder="1" applyAlignment="1"/>
    <xf numFmtId="177" fontId="0" fillId="0" borderId="0" xfId="0" applyNumberFormat="1" applyAlignment="1">
      <alignment horizontal="center"/>
    </xf>
    <xf numFmtId="0" fontId="0" fillId="8" borderId="0" xfId="0" applyFill="1"/>
    <xf numFmtId="0" fontId="1" fillId="8" borderId="1" xfId="2" applyFill="1" applyBorder="1" applyAlignment="1"/>
    <xf numFmtId="0" fontId="0" fillId="8" borderId="0" xfId="0" applyFill="1" applyAlignment="1">
      <alignment horizontal="center" vertical="center"/>
    </xf>
    <xf numFmtId="0" fontId="2" fillId="8" borderId="1" xfId="3" applyFill="1" applyBorder="1" applyAlignment="1"/>
    <xf numFmtId="0" fontId="0" fillId="8" borderId="0" xfId="0" applyFill="1" applyAlignment="1">
      <alignment horizontal="center"/>
    </xf>
    <xf numFmtId="0" fontId="0" fillId="0" borderId="0" xfId="0" applyAlignment="1">
      <alignment horizontal="center" wrapText="1"/>
    </xf>
    <xf numFmtId="49" fontId="0" fillId="7" borderId="0" xfId="0" applyNumberFormat="1" applyFill="1" applyAlignment="1">
      <alignment horizontal="center" vertical="center" wrapText="1"/>
    </xf>
    <xf numFmtId="0" fontId="2" fillId="7" borderId="2" xfId="3" applyFill="1" applyBorder="1" applyAlignment="1"/>
    <xf numFmtId="0" fontId="0" fillId="9" borderId="0" xfId="0" applyFill="1"/>
    <xf numFmtId="0" fontId="0" fillId="9" borderId="0" xfId="0" applyFill="1" applyAlignment="1">
      <alignment horizontal="center" vertical="center"/>
    </xf>
    <xf numFmtId="0" fontId="1" fillId="2" borderId="1" xfId="2" applyNumberFormat="1" applyBorder="1" applyAlignment="1"/>
    <xf numFmtId="49" fontId="1" fillId="2" borderId="1" xfId="2" applyNumberFormat="1" applyBorder="1" applyAlignment="1"/>
    <xf numFmtId="0" fontId="1" fillId="9" borderId="1" xfId="2" applyFill="1" applyBorder="1" applyAlignment="1"/>
    <xf numFmtId="49" fontId="0" fillId="5" borderId="0" xfId="0" applyNumberFormat="1" applyFill="1" applyAlignment="1">
      <alignment horizontal="center" vertical="center"/>
    </xf>
    <xf numFmtId="176" fontId="0" fillId="5" borderId="0" xfId="0" applyNumberFormat="1" applyFill="1" applyAlignment="1">
      <alignment horizontal="center" vertical="center"/>
    </xf>
    <xf numFmtId="176" fontId="0" fillId="9" borderId="0" xfId="0" applyNumberFormat="1" applyFill="1" applyAlignment="1">
      <alignment horizontal="center" vertical="center"/>
    </xf>
    <xf numFmtId="0" fontId="2" fillId="4" borderId="1" xfId="3" applyNumberFormat="1" applyBorder="1" applyAlignment="1"/>
    <xf numFmtId="49" fontId="2" fillId="4" borderId="1" xfId="3" applyNumberFormat="1" applyBorder="1" applyAlignment="1"/>
    <xf numFmtId="0" fontId="2" fillId="9" borderId="1" xfId="3" applyFill="1" applyBorder="1" applyAlignment="1"/>
    <xf numFmtId="176" fontId="0" fillId="0" borderId="0" xfId="0" applyNumberFormat="1" applyAlignment="1">
      <alignment horizontal="center" vertical="center"/>
    </xf>
    <xf numFmtId="0" fontId="0" fillId="10" borderId="0" xfId="0" applyFill="1" applyAlignment="1">
      <alignment horizontal="center" vertical="center"/>
    </xf>
    <xf numFmtId="0" fontId="0" fillId="10" borderId="0" xfId="0" applyFill="1" applyAlignment="1">
      <alignment horizontal="center"/>
    </xf>
    <xf numFmtId="0" fontId="13" fillId="2" borderId="0" xfId="2" applyFont="1" applyAlignment="1">
      <alignment horizontal="center"/>
    </xf>
    <xf numFmtId="0" fontId="14" fillId="0" borderId="0" xfId="0" applyFont="1" applyAlignment="1">
      <alignment horizontal="center"/>
    </xf>
    <xf numFmtId="0" fontId="14" fillId="0" borderId="0" xfId="0" applyFont="1" applyAlignment="1">
      <alignment horizontal="center" wrapText="1"/>
    </xf>
  </cellXfs>
  <cellStyles count="4">
    <cellStyle name="百分比" xfId="1" builtinId="5"/>
    <cellStyle name="差" xfId="3" builtinId="27"/>
    <cellStyle name="常规" xfId="0" builtinId="0"/>
    <cellStyle name="好" xfId="2" builtinId="26"/>
  </cellStyles>
  <dxfs count="13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theme" Target="theme/theme1.xml"/><Relationship Id="rId7" Type="http://schemas.openxmlformats.org/officeDocument/2006/relationships/worksheet" Target="worksheets/sheet7.xml"/><Relationship Id="rId71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66" Type="http://schemas.openxmlformats.org/officeDocument/2006/relationships/worksheet" Target="worksheets/sheet66.xml"/><Relationship Id="rId5" Type="http://schemas.openxmlformats.org/officeDocument/2006/relationships/worksheet" Target="worksheets/sheet5.xml"/><Relationship Id="rId61" Type="http://schemas.openxmlformats.org/officeDocument/2006/relationships/worksheet" Target="worksheets/sheet61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69" Type="http://schemas.openxmlformats.org/officeDocument/2006/relationships/styles" Target="styles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1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.xml"/><Relationship Id="rId1" Type="http://schemas.openxmlformats.org/officeDocument/2006/relationships/vmlDrawing" Target="../drawings/vmlDrawing10.vml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comments" Target="../comments11.xml"/><Relationship Id="rId1" Type="http://schemas.openxmlformats.org/officeDocument/2006/relationships/vmlDrawing" Target="../drawings/vmlDrawing11.vml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comments" Target="../comments12.xml"/><Relationship Id="rId1" Type="http://schemas.openxmlformats.org/officeDocument/2006/relationships/vmlDrawing" Target="../drawings/vmlDrawing12.vml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comments" Target="../comments13.xml"/><Relationship Id="rId1" Type="http://schemas.openxmlformats.org/officeDocument/2006/relationships/vmlDrawing" Target="../drawings/vmlDrawing13.vml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comments" Target="../comments14.xml"/><Relationship Id="rId1" Type="http://schemas.openxmlformats.org/officeDocument/2006/relationships/vmlDrawing" Target="../drawings/vmlDrawing14.vml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5.xml"/><Relationship Id="rId1" Type="http://schemas.openxmlformats.org/officeDocument/2006/relationships/vmlDrawing" Target="../drawings/vmlDrawing15.vml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6.xml"/><Relationship Id="rId1" Type="http://schemas.openxmlformats.org/officeDocument/2006/relationships/vmlDrawing" Target="../drawings/vmlDrawing16.vml"/></Relationships>
</file>

<file path=xl/worksheets/_rels/sheet3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7.xml"/><Relationship Id="rId1" Type="http://schemas.openxmlformats.org/officeDocument/2006/relationships/vmlDrawing" Target="../drawings/vmlDrawing17.vml"/></Relationships>
</file>

<file path=xl/worksheets/_rels/sheet36.xml.rels><?xml version="1.0" encoding="UTF-8" standalone="yes"?>
<Relationships xmlns="http://schemas.openxmlformats.org/package/2006/relationships"><Relationship Id="rId2" Type="http://schemas.openxmlformats.org/officeDocument/2006/relationships/comments" Target="../comments18.xml"/><Relationship Id="rId1" Type="http://schemas.openxmlformats.org/officeDocument/2006/relationships/vmlDrawing" Target="../drawings/vmlDrawing18.vml"/></Relationships>
</file>

<file path=xl/worksheets/_rels/sheet4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9.xml"/><Relationship Id="rId1" Type="http://schemas.openxmlformats.org/officeDocument/2006/relationships/vmlDrawing" Target="../drawings/vmlDrawing19.vml"/></Relationships>
</file>

<file path=xl/worksheets/_rels/sheet5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0.xml"/><Relationship Id="rId1" Type="http://schemas.openxmlformats.org/officeDocument/2006/relationships/vmlDrawing" Target="../drawings/vmlDrawing20.vml"/></Relationships>
</file>

<file path=xl/worksheets/_rels/sheet5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1.xml"/><Relationship Id="rId1" Type="http://schemas.openxmlformats.org/officeDocument/2006/relationships/vmlDrawing" Target="../drawings/vmlDrawing21.vml"/></Relationships>
</file>

<file path=xl/worksheets/_rels/sheet58.xml.rels><?xml version="1.0" encoding="UTF-8" standalone="yes"?>
<Relationships xmlns="http://schemas.openxmlformats.org/package/2006/relationships"><Relationship Id="rId2" Type="http://schemas.openxmlformats.org/officeDocument/2006/relationships/comments" Target="../comments22.xml"/><Relationship Id="rId1" Type="http://schemas.openxmlformats.org/officeDocument/2006/relationships/vmlDrawing" Target="../drawings/vmlDrawing22.vml"/></Relationships>
</file>

<file path=xl/worksheets/_rels/sheet60.xml.rels><?xml version="1.0" encoding="UTF-8" standalone="yes"?>
<Relationships xmlns="http://schemas.openxmlformats.org/package/2006/relationships"><Relationship Id="rId2" Type="http://schemas.openxmlformats.org/officeDocument/2006/relationships/comments" Target="../comments23.xml"/><Relationship Id="rId1" Type="http://schemas.openxmlformats.org/officeDocument/2006/relationships/vmlDrawing" Target="../drawings/vmlDrawing23.vml"/></Relationships>
</file>

<file path=xl/worksheets/_rels/sheet61.xml.rels><?xml version="1.0" encoding="UTF-8" standalone="yes"?>
<Relationships xmlns="http://schemas.openxmlformats.org/package/2006/relationships"><Relationship Id="rId2" Type="http://schemas.openxmlformats.org/officeDocument/2006/relationships/comments" Target="../comments24.xml"/><Relationship Id="rId1" Type="http://schemas.openxmlformats.org/officeDocument/2006/relationships/vmlDrawing" Target="../drawings/vmlDrawing2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6"/>
  <sheetViews>
    <sheetView workbookViewId="0">
      <selection activeCell="I12" sqref="I12"/>
    </sheetView>
  </sheetViews>
  <sheetFormatPr defaultColWidth="9" defaultRowHeight="14.25" x14ac:dyDescent="0.2"/>
  <cols>
    <col min="1" max="3" width="9" style="1"/>
    <col min="4" max="4" width="11.75" style="1" customWidth="1"/>
    <col min="5" max="5" width="19.5" style="1" customWidth="1"/>
    <col min="6" max="6" width="46.5" style="1" customWidth="1"/>
    <col min="7" max="16384" width="9" style="1"/>
  </cols>
  <sheetData>
    <row r="1" spans="1:6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x14ac:dyDescent="0.2">
      <c r="A2" s="2" t="s">
        <v>0</v>
      </c>
      <c r="B2" s="2"/>
      <c r="C2" s="2"/>
      <c r="D2" s="2"/>
      <c r="E2" s="2"/>
      <c r="F2" s="2"/>
    </row>
    <row r="3" spans="1:6" x14ac:dyDescent="0.2">
      <c r="A3" s="5" t="s">
        <v>6</v>
      </c>
      <c r="B3" s="5" t="s">
        <v>7</v>
      </c>
      <c r="C3" s="5" t="s">
        <v>7</v>
      </c>
      <c r="D3" s="5" t="s">
        <v>7</v>
      </c>
      <c r="E3" s="5" t="s">
        <v>8</v>
      </c>
      <c r="F3" s="5" t="s">
        <v>8</v>
      </c>
    </row>
    <row r="4" spans="1:6" x14ac:dyDescent="0.2">
      <c r="A4" s="5" t="s">
        <v>9</v>
      </c>
      <c r="B4" s="5"/>
      <c r="C4" s="5"/>
      <c r="D4" s="5"/>
      <c r="E4" s="5"/>
      <c r="F4" s="5"/>
    </row>
    <row r="5" spans="1:6" x14ac:dyDescent="0.2">
      <c r="A5" s="2" t="s">
        <v>10</v>
      </c>
      <c r="B5" s="2" t="s">
        <v>11</v>
      </c>
      <c r="C5" s="2" t="s">
        <v>12</v>
      </c>
      <c r="D5" s="2" t="s">
        <v>13</v>
      </c>
      <c r="E5" s="2" t="s">
        <v>14</v>
      </c>
      <c r="F5" s="2" t="s">
        <v>15</v>
      </c>
    </row>
    <row r="6" spans="1:6" x14ac:dyDescent="0.2">
      <c r="B6" s="11">
        <v>0</v>
      </c>
      <c r="C6" s="11">
        <v>6</v>
      </c>
      <c r="D6" s="11">
        <v>400</v>
      </c>
      <c r="E6" s="11" t="s">
        <v>16</v>
      </c>
      <c r="F6" s="11"/>
    </row>
    <row r="7" spans="1:6" x14ac:dyDescent="0.2">
      <c r="B7" s="11">
        <v>1</v>
      </c>
      <c r="C7" s="11">
        <v>66</v>
      </c>
      <c r="D7" s="11">
        <v>2000</v>
      </c>
      <c r="E7" s="11" t="s">
        <v>17</v>
      </c>
      <c r="F7" s="11"/>
    </row>
    <row r="8" spans="1:6" x14ac:dyDescent="0.2">
      <c r="B8" s="11">
        <v>2</v>
      </c>
      <c r="C8" s="11">
        <v>150</v>
      </c>
      <c r="D8" s="11">
        <v>4000</v>
      </c>
      <c r="E8" s="11" t="s">
        <v>18</v>
      </c>
      <c r="F8" s="11" t="s">
        <v>19</v>
      </c>
    </row>
    <row r="9" spans="1:6" x14ac:dyDescent="0.2">
      <c r="B9" s="11">
        <v>3</v>
      </c>
      <c r="C9" s="11">
        <v>389</v>
      </c>
      <c r="D9" s="11">
        <v>6000</v>
      </c>
      <c r="E9" s="11" t="s">
        <v>20</v>
      </c>
      <c r="F9" s="11"/>
    </row>
    <row r="10" spans="1:6" x14ac:dyDescent="0.2">
      <c r="B10" s="11">
        <v>4</v>
      </c>
      <c r="C10" s="11">
        <v>799</v>
      </c>
      <c r="D10" s="11">
        <v>8000</v>
      </c>
      <c r="E10" s="11" t="s">
        <v>21</v>
      </c>
      <c r="F10" s="11" t="s">
        <v>22</v>
      </c>
    </row>
    <row r="11" spans="1:6" x14ac:dyDescent="0.2">
      <c r="B11" s="11">
        <v>5</v>
      </c>
      <c r="C11" s="11">
        <v>1599</v>
      </c>
      <c r="D11" s="11">
        <v>10000</v>
      </c>
      <c r="E11" s="11" t="s">
        <v>23</v>
      </c>
      <c r="F11" s="11" t="s">
        <v>24</v>
      </c>
    </row>
    <row r="12" spans="1:6" x14ac:dyDescent="0.2">
      <c r="B12" s="11">
        <v>6</v>
      </c>
      <c r="C12" s="11">
        <v>5899</v>
      </c>
      <c r="D12" s="11">
        <v>20000</v>
      </c>
      <c r="E12" s="11" t="s">
        <v>25</v>
      </c>
      <c r="F12" s="11" t="s">
        <v>26</v>
      </c>
    </row>
    <row r="13" spans="1:6" x14ac:dyDescent="0.2">
      <c r="B13" s="11">
        <v>7</v>
      </c>
      <c r="C13" s="11">
        <v>15899</v>
      </c>
      <c r="D13" s="11">
        <v>40000</v>
      </c>
      <c r="E13" s="11" t="s">
        <v>27</v>
      </c>
      <c r="F13" s="11" t="s">
        <v>28</v>
      </c>
    </row>
    <row r="14" spans="1:6" x14ac:dyDescent="0.2">
      <c r="B14" s="11">
        <v>8</v>
      </c>
      <c r="C14" s="11">
        <v>58899</v>
      </c>
      <c r="D14" s="11">
        <v>40000</v>
      </c>
      <c r="E14" s="11" t="s">
        <v>29</v>
      </c>
      <c r="F14" s="11"/>
    </row>
    <row r="15" spans="1:6" x14ac:dyDescent="0.2">
      <c r="B15" s="11">
        <v>9</v>
      </c>
      <c r="C15" s="11">
        <v>98899</v>
      </c>
      <c r="D15" s="11">
        <v>40000</v>
      </c>
      <c r="E15" s="11" t="s">
        <v>30</v>
      </c>
      <c r="F15" s="11"/>
    </row>
    <row r="16" spans="1:6" x14ac:dyDescent="0.2">
      <c r="B16" s="11">
        <v>10</v>
      </c>
      <c r="C16" s="11"/>
      <c r="D16" s="11">
        <v>40000</v>
      </c>
      <c r="E16" s="11" t="s">
        <v>30</v>
      </c>
      <c r="F16" s="11"/>
    </row>
  </sheetData>
  <phoneticPr fontId="12" type="noConversion"/>
  <conditionalFormatting sqref="A1:F5">
    <cfRule type="duplicateValues" dxfId="12" priority="1"/>
  </conditionalFormatting>
  <pageMargins left="0.7" right="0.7" top="0.75" bottom="0.75" header="0.3" footer="0.3"/>
  <pageSetup paperSize="9" orientation="portrait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4"/>
  <sheetViews>
    <sheetView workbookViewId="0">
      <selection activeCell="E43" sqref="E43"/>
    </sheetView>
  </sheetViews>
  <sheetFormatPr defaultColWidth="9" defaultRowHeight="14.25" x14ac:dyDescent="0.2"/>
  <cols>
    <col min="6" max="6" width="12.25" customWidth="1"/>
  </cols>
  <sheetData>
    <row r="1" spans="1:6" x14ac:dyDescent="0.2">
      <c r="A1" s="55" t="s">
        <v>0</v>
      </c>
      <c r="B1" s="55" t="s">
        <v>1</v>
      </c>
      <c r="C1" s="55" t="s">
        <v>31</v>
      </c>
      <c r="D1" s="55" t="s">
        <v>32</v>
      </c>
      <c r="E1" s="55" t="s">
        <v>33</v>
      </c>
      <c r="F1" s="55" t="s">
        <v>34</v>
      </c>
    </row>
    <row r="2" spans="1:6" x14ac:dyDescent="0.2">
      <c r="A2" s="55" t="s">
        <v>0</v>
      </c>
      <c r="B2" s="55"/>
      <c r="C2" s="55"/>
      <c r="D2" s="55"/>
      <c r="E2" s="55"/>
      <c r="F2" s="55"/>
    </row>
    <row r="3" spans="1:6" x14ac:dyDescent="0.2">
      <c r="A3" s="56" t="s">
        <v>6</v>
      </c>
      <c r="B3" s="56" t="s">
        <v>7</v>
      </c>
      <c r="C3" s="56" t="s">
        <v>7</v>
      </c>
      <c r="D3" s="56" t="s">
        <v>7</v>
      </c>
      <c r="E3" s="56" t="s">
        <v>7</v>
      </c>
      <c r="F3" s="56" t="s">
        <v>7</v>
      </c>
    </row>
    <row r="4" spans="1:6" x14ac:dyDescent="0.2">
      <c r="A4" s="56" t="s">
        <v>9</v>
      </c>
      <c r="B4" s="56"/>
      <c r="C4" s="56"/>
      <c r="D4" s="56"/>
      <c r="E4" s="56"/>
      <c r="F4" s="56"/>
    </row>
    <row r="5" spans="1:6" x14ac:dyDescent="0.2">
      <c r="A5" s="55" t="s">
        <v>10</v>
      </c>
      <c r="B5" s="55" t="s">
        <v>35</v>
      </c>
      <c r="C5" s="55" t="s">
        <v>36</v>
      </c>
      <c r="D5" s="55" t="s">
        <v>37</v>
      </c>
      <c r="E5" s="55" t="s">
        <v>38</v>
      </c>
      <c r="F5" s="55" t="s">
        <v>38</v>
      </c>
    </row>
    <row r="6" spans="1:6" x14ac:dyDescent="0.2">
      <c r="A6" s="11"/>
      <c r="B6" s="11">
        <v>10000</v>
      </c>
      <c r="C6" s="11">
        <v>10002</v>
      </c>
      <c r="D6" s="11">
        <v>100</v>
      </c>
      <c r="E6" s="11">
        <v>0</v>
      </c>
      <c r="F6" s="11">
        <v>45</v>
      </c>
    </row>
    <row r="7" spans="1:6" x14ac:dyDescent="0.2">
      <c r="A7" s="11"/>
      <c r="B7" s="11">
        <v>10001</v>
      </c>
      <c r="C7" s="11">
        <v>10002</v>
      </c>
      <c r="D7" s="11">
        <v>300</v>
      </c>
      <c r="E7" s="11">
        <v>0</v>
      </c>
      <c r="F7" s="11">
        <v>50</v>
      </c>
    </row>
    <row r="8" spans="1:6" x14ac:dyDescent="0.2">
      <c r="A8" s="11"/>
      <c r="B8" s="11">
        <v>10002</v>
      </c>
      <c r="C8" s="11">
        <v>10002</v>
      </c>
      <c r="D8" s="11">
        <v>1000</v>
      </c>
      <c r="E8" s="11">
        <v>1</v>
      </c>
      <c r="F8" s="11">
        <v>5</v>
      </c>
    </row>
    <row r="9" spans="1:6" x14ac:dyDescent="0.2">
      <c r="A9" s="11"/>
      <c r="B9" s="11">
        <v>10003</v>
      </c>
      <c r="C9" s="11">
        <v>10002</v>
      </c>
      <c r="D9" s="11">
        <v>4000</v>
      </c>
      <c r="E9" s="11">
        <v>33</v>
      </c>
      <c r="F9" s="11">
        <v>0</v>
      </c>
    </row>
    <row r="10" spans="1:6" x14ac:dyDescent="0.2">
      <c r="A10" s="11"/>
      <c r="B10" s="11">
        <v>10004</v>
      </c>
      <c r="C10" s="11">
        <v>10002</v>
      </c>
      <c r="D10" s="11">
        <v>10000</v>
      </c>
      <c r="E10" s="11">
        <v>33</v>
      </c>
      <c r="F10" s="11">
        <v>0</v>
      </c>
    </row>
    <row r="11" spans="1:6" x14ac:dyDescent="0.2">
      <c r="A11" s="11"/>
      <c r="B11" s="11">
        <v>10005</v>
      </c>
      <c r="C11" s="11">
        <v>10002</v>
      </c>
      <c r="D11" s="11">
        <v>20000</v>
      </c>
      <c r="E11" s="11">
        <v>33</v>
      </c>
      <c r="F11" s="11">
        <v>0</v>
      </c>
    </row>
    <row r="12" spans="1:6" x14ac:dyDescent="0.2">
      <c r="A12" s="11"/>
      <c r="B12" s="11">
        <v>10006</v>
      </c>
      <c r="C12" s="11">
        <v>10002</v>
      </c>
      <c r="D12" s="11">
        <v>50000</v>
      </c>
      <c r="E12" s="11">
        <v>0</v>
      </c>
      <c r="F12" s="11">
        <v>0</v>
      </c>
    </row>
    <row r="13" spans="1:6" x14ac:dyDescent="0.2">
      <c r="A13" s="11"/>
      <c r="B13" s="11">
        <v>10007</v>
      </c>
      <c r="C13" s="11">
        <v>10002</v>
      </c>
      <c r="D13" s="11">
        <v>100000</v>
      </c>
      <c r="E13" s="11">
        <v>0</v>
      </c>
      <c r="F13" s="11">
        <v>0</v>
      </c>
    </row>
    <row r="14" spans="1:6" x14ac:dyDescent="0.2">
      <c r="A14" s="11"/>
      <c r="B14" s="11">
        <v>10008</v>
      </c>
      <c r="C14" s="11">
        <v>10002</v>
      </c>
      <c r="D14" s="11">
        <v>200000</v>
      </c>
      <c r="E14" s="11">
        <v>0</v>
      </c>
      <c r="F14" s="11">
        <v>0</v>
      </c>
    </row>
  </sheetData>
  <phoneticPr fontId="12" type="noConversion"/>
  <conditionalFormatting sqref="A1:F5">
    <cfRule type="duplicateValues" dxfId="11" priority="1"/>
  </conditionalFormatting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06"/>
  <sheetViews>
    <sheetView workbookViewId="0">
      <selection sqref="A1:XFD1048576"/>
    </sheetView>
  </sheetViews>
  <sheetFormatPr defaultColWidth="9" defaultRowHeight="14.25" x14ac:dyDescent="0.2"/>
  <cols>
    <col min="1" max="16384" width="9" style="57"/>
  </cols>
  <sheetData>
    <row r="1" spans="1:4" x14ac:dyDescent="0.2">
      <c r="A1" s="58" t="s">
        <v>0</v>
      </c>
      <c r="B1" s="31" t="s">
        <v>1</v>
      </c>
      <c r="C1" s="31" t="s">
        <v>39</v>
      </c>
      <c r="D1" s="31" t="s">
        <v>40</v>
      </c>
    </row>
    <row r="2" spans="1:4" x14ac:dyDescent="0.2">
      <c r="A2" s="58" t="s">
        <v>0</v>
      </c>
      <c r="B2" s="58"/>
      <c r="C2" s="58"/>
      <c r="D2" s="58"/>
    </row>
    <row r="3" spans="1:4" x14ac:dyDescent="0.2">
      <c r="A3" s="59" t="s">
        <v>6</v>
      </c>
      <c r="B3" s="59" t="s">
        <v>7</v>
      </c>
      <c r="C3" s="59" t="s">
        <v>7</v>
      </c>
      <c r="D3" s="59" t="s">
        <v>7</v>
      </c>
    </row>
    <row r="4" spans="1:4" x14ac:dyDescent="0.2">
      <c r="A4" s="59" t="s">
        <v>9</v>
      </c>
      <c r="B4" s="59"/>
      <c r="C4" s="59"/>
      <c r="D4" s="59"/>
    </row>
    <row r="5" spans="1:4" x14ac:dyDescent="0.2">
      <c r="A5" s="58" t="s">
        <v>10</v>
      </c>
      <c r="B5" s="31" t="s">
        <v>41</v>
      </c>
      <c r="C5" s="31" t="s">
        <v>42</v>
      </c>
      <c r="D5" s="31" t="s">
        <v>43</v>
      </c>
    </row>
    <row r="6" spans="1:4" x14ac:dyDescent="0.2">
      <c r="B6" s="31">
        <v>100</v>
      </c>
      <c r="C6" s="31">
        <v>0</v>
      </c>
      <c r="D6" s="31">
        <v>200</v>
      </c>
    </row>
    <row r="7" spans="1:4" x14ac:dyDescent="0.2">
      <c r="B7" s="31">
        <v>101</v>
      </c>
      <c r="C7" s="31">
        <v>1</v>
      </c>
      <c r="D7" s="31">
        <v>400</v>
      </c>
    </row>
    <row r="8" spans="1:4" x14ac:dyDescent="0.2">
      <c r="B8" s="31">
        <v>102</v>
      </c>
      <c r="C8" s="31">
        <v>2</v>
      </c>
      <c r="D8" s="31">
        <v>600</v>
      </c>
    </row>
    <row r="9" spans="1:4" x14ac:dyDescent="0.2">
      <c r="B9" s="31">
        <v>103</v>
      </c>
      <c r="C9" s="31">
        <v>3</v>
      </c>
      <c r="D9" s="31">
        <v>800</v>
      </c>
    </row>
    <row r="10" spans="1:4" x14ac:dyDescent="0.2">
      <c r="B10" s="31">
        <v>104</v>
      </c>
      <c r="C10" s="31">
        <v>4</v>
      </c>
      <c r="D10" s="31">
        <v>1000</v>
      </c>
    </row>
    <row r="11" spans="1:4" x14ac:dyDescent="0.2">
      <c r="B11" s="31">
        <v>105</v>
      </c>
      <c r="C11" s="31">
        <v>5</v>
      </c>
      <c r="D11" s="31">
        <v>1400</v>
      </c>
    </row>
    <row r="12" spans="1:4" x14ac:dyDescent="0.2">
      <c r="B12" s="31">
        <v>106</v>
      </c>
      <c r="C12" s="31">
        <v>6</v>
      </c>
      <c r="D12" s="31">
        <v>1800</v>
      </c>
    </row>
    <row r="13" spans="1:4" x14ac:dyDescent="0.2">
      <c r="B13" s="31">
        <v>107</v>
      </c>
      <c r="C13" s="31">
        <v>7</v>
      </c>
      <c r="D13" s="31">
        <v>2200</v>
      </c>
    </row>
    <row r="14" spans="1:4" x14ac:dyDescent="0.2">
      <c r="B14" s="31">
        <v>108</v>
      </c>
      <c r="C14" s="31">
        <v>8</v>
      </c>
      <c r="D14" s="31">
        <v>2600</v>
      </c>
    </row>
    <row r="15" spans="1:4" x14ac:dyDescent="0.2">
      <c r="B15" s="31">
        <v>109</v>
      </c>
      <c r="C15" s="31">
        <v>9</v>
      </c>
      <c r="D15" s="31">
        <v>3000</v>
      </c>
    </row>
    <row r="16" spans="1:4" x14ac:dyDescent="0.2">
      <c r="B16" s="31">
        <v>110</v>
      </c>
      <c r="C16" s="31">
        <v>10</v>
      </c>
      <c r="D16" s="31">
        <v>3600</v>
      </c>
    </row>
    <row r="17" spans="2:4" x14ac:dyDescent="0.2">
      <c r="B17" s="31">
        <v>111</v>
      </c>
      <c r="C17" s="31">
        <v>11</v>
      </c>
      <c r="D17" s="31">
        <v>4200</v>
      </c>
    </row>
    <row r="18" spans="2:4" x14ac:dyDescent="0.2">
      <c r="B18" s="31">
        <v>112</v>
      </c>
      <c r="C18" s="31">
        <v>12</v>
      </c>
      <c r="D18" s="31">
        <v>4800</v>
      </c>
    </row>
    <row r="19" spans="2:4" x14ac:dyDescent="0.2">
      <c r="B19" s="31">
        <v>113</v>
      </c>
      <c r="C19" s="31">
        <v>13</v>
      </c>
      <c r="D19" s="31">
        <v>5400</v>
      </c>
    </row>
    <row r="20" spans="2:4" x14ac:dyDescent="0.2">
      <c r="B20" s="31">
        <v>114</v>
      </c>
      <c r="C20" s="31">
        <v>14</v>
      </c>
      <c r="D20" s="31">
        <v>6000</v>
      </c>
    </row>
    <row r="21" spans="2:4" x14ac:dyDescent="0.2">
      <c r="B21" s="31">
        <v>115</v>
      </c>
      <c r="C21" s="31">
        <v>15</v>
      </c>
      <c r="D21" s="31">
        <v>6800</v>
      </c>
    </row>
    <row r="22" spans="2:4" x14ac:dyDescent="0.2">
      <c r="B22" s="31">
        <v>116</v>
      </c>
      <c r="C22" s="31">
        <v>16</v>
      </c>
      <c r="D22" s="31">
        <v>7600</v>
      </c>
    </row>
    <row r="23" spans="2:4" x14ac:dyDescent="0.2">
      <c r="B23" s="31">
        <v>117</v>
      </c>
      <c r="C23" s="31">
        <v>17</v>
      </c>
      <c r="D23" s="31">
        <v>8400</v>
      </c>
    </row>
    <row r="24" spans="2:4" x14ac:dyDescent="0.2">
      <c r="B24" s="31">
        <v>118</v>
      </c>
      <c r="C24" s="31">
        <v>18</v>
      </c>
      <c r="D24" s="31">
        <v>9200</v>
      </c>
    </row>
    <row r="25" spans="2:4" x14ac:dyDescent="0.2">
      <c r="B25" s="31">
        <v>119</v>
      </c>
      <c r="C25" s="31">
        <v>19</v>
      </c>
      <c r="D25" s="31">
        <v>10000</v>
      </c>
    </row>
    <row r="26" spans="2:4" x14ac:dyDescent="0.2">
      <c r="B26" s="31">
        <v>120</v>
      </c>
      <c r="C26" s="31">
        <v>20</v>
      </c>
      <c r="D26" s="31">
        <v>11000</v>
      </c>
    </row>
    <row r="27" spans="2:4" x14ac:dyDescent="0.2">
      <c r="B27" s="31">
        <v>121</v>
      </c>
      <c r="C27" s="31">
        <v>21</v>
      </c>
      <c r="D27" s="31">
        <v>12000</v>
      </c>
    </row>
    <row r="28" spans="2:4" x14ac:dyDescent="0.2">
      <c r="B28" s="31">
        <v>122</v>
      </c>
      <c r="C28" s="31">
        <v>22</v>
      </c>
      <c r="D28" s="31">
        <v>13000</v>
      </c>
    </row>
    <row r="29" spans="2:4" x14ac:dyDescent="0.2">
      <c r="B29" s="31">
        <v>123</v>
      </c>
      <c r="C29" s="31">
        <v>23</v>
      </c>
      <c r="D29" s="31">
        <v>14000</v>
      </c>
    </row>
    <row r="30" spans="2:4" x14ac:dyDescent="0.2">
      <c r="B30" s="31">
        <v>124</v>
      </c>
      <c r="C30" s="31">
        <v>24</v>
      </c>
      <c r="D30" s="31">
        <v>15000</v>
      </c>
    </row>
    <row r="31" spans="2:4" x14ac:dyDescent="0.2">
      <c r="B31" s="31">
        <v>125</v>
      </c>
      <c r="C31" s="31">
        <v>25</v>
      </c>
      <c r="D31" s="31">
        <v>16000</v>
      </c>
    </row>
    <row r="32" spans="2:4" x14ac:dyDescent="0.2">
      <c r="B32" s="31">
        <v>126</v>
      </c>
      <c r="C32" s="31">
        <v>26</v>
      </c>
      <c r="D32" s="31">
        <v>17000</v>
      </c>
    </row>
    <row r="33" spans="2:4" x14ac:dyDescent="0.2">
      <c r="B33" s="31">
        <v>127</v>
      </c>
      <c r="C33" s="31">
        <v>27</v>
      </c>
      <c r="D33" s="31">
        <v>18000</v>
      </c>
    </row>
    <row r="34" spans="2:4" x14ac:dyDescent="0.2">
      <c r="B34" s="31">
        <v>128</v>
      </c>
      <c r="C34" s="31">
        <v>28</v>
      </c>
      <c r="D34" s="31">
        <v>19000</v>
      </c>
    </row>
    <row r="35" spans="2:4" x14ac:dyDescent="0.2">
      <c r="B35" s="31">
        <v>129</v>
      </c>
      <c r="C35" s="31">
        <v>29</v>
      </c>
      <c r="D35" s="31">
        <v>20000</v>
      </c>
    </row>
    <row r="36" spans="2:4" x14ac:dyDescent="0.2">
      <c r="B36" s="31">
        <v>130</v>
      </c>
      <c r="C36" s="31">
        <v>30</v>
      </c>
      <c r="D36" s="31">
        <v>21000</v>
      </c>
    </row>
    <row r="37" spans="2:4" x14ac:dyDescent="0.2">
      <c r="B37" s="31">
        <v>131</v>
      </c>
      <c r="C37" s="31">
        <v>31</v>
      </c>
      <c r="D37" s="31">
        <v>22000</v>
      </c>
    </row>
    <row r="38" spans="2:4" x14ac:dyDescent="0.2">
      <c r="B38" s="31">
        <v>132</v>
      </c>
      <c r="C38" s="31">
        <v>32</v>
      </c>
      <c r="D38" s="31">
        <v>23000</v>
      </c>
    </row>
    <row r="39" spans="2:4" x14ac:dyDescent="0.2">
      <c r="B39" s="31">
        <v>133</v>
      </c>
      <c r="C39" s="31">
        <v>33</v>
      </c>
      <c r="D39" s="31">
        <v>24000</v>
      </c>
    </row>
    <row r="40" spans="2:4" x14ac:dyDescent="0.2">
      <c r="B40" s="31">
        <v>134</v>
      </c>
      <c r="C40" s="31">
        <v>34</v>
      </c>
      <c r="D40" s="31">
        <v>25000</v>
      </c>
    </row>
    <row r="41" spans="2:4" x14ac:dyDescent="0.2">
      <c r="B41" s="31">
        <v>135</v>
      </c>
      <c r="C41" s="31">
        <v>35</v>
      </c>
      <c r="D41" s="31">
        <v>26000</v>
      </c>
    </row>
    <row r="42" spans="2:4" x14ac:dyDescent="0.2">
      <c r="B42" s="31">
        <v>136</v>
      </c>
      <c r="C42" s="31">
        <v>36</v>
      </c>
      <c r="D42" s="31">
        <v>27000</v>
      </c>
    </row>
    <row r="43" spans="2:4" x14ac:dyDescent="0.2">
      <c r="B43" s="31">
        <v>137</v>
      </c>
      <c r="C43" s="31">
        <v>37</v>
      </c>
      <c r="D43" s="31">
        <v>28000</v>
      </c>
    </row>
    <row r="44" spans="2:4" x14ac:dyDescent="0.2">
      <c r="B44" s="31">
        <v>138</v>
      </c>
      <c r="C44" s="31">
        <v>38</v>
      </c>
      <c r="D44" s="31">
        <v>29000</v>
      </c>
    </row>
    <row r="45" spans="2:4" x14ac:dyDescent="0.2">
      <c r="B45" s="31">
        <v>139</v>
      </c>
      <c r="C45" s="31">
        <v>39</v>
      </c>
      <c r="D45" s="31">
        <v>30000</v>
      </c>
    </row>
    <row r="46" spans="2:4" x14ac:dyDescent="0.2">
      <c r="B46" s="31">
        <v>140</v>
      </c>
      <c r="C46" s="31">
        <v>40</v>
      </c>
      <c r="D46" s="31">
        <v>31000</v>
      </c>
    </row>
    <row r="47" spans="2:4" x14ac:dyDescent="0.2">
      <c r="B47" s="31">
        <v>141</v>
      </c>
      <c r="C47" s="31">
        <v>41</v>
      </c>
      <c r="D47" s="31">
        <v>32000</v>
      </c>
    </row>
    <row r="48" spans="2:4" x14ac:dyDescent="0.2">
      <c r="B48" s="31">
        <v>142</v>
      </c>
      <c r="C48" s="31">
        <v>42</v>
      </c>
      <c r="D48" s="31">
        <v>33000</v>
      </c>
    </row>
    <row r="49" spans="2:4" x14ac:dyDescent="0.2">
      <c r="B49" s="31">
        <v>143</v>
      </c>
      <c r="C49" s="31">
        <v>43</v>
      </c>
      <c r="D49" s="31">
        <v>34000</v>
      </c>
    </row>
    <row r="50" spans="2:4" x14ac:dyDescent="0.2">
      <c r="B50" s="31">
        <v>144</v>
      </c>
      <c r="C50" s="31">
        <v>44</v>
      </c>
      <c r="D50" s="31">
        <v>35000</v>
      </c>
    </row>
    <row r="51" spans="2:4" x14ac:dyDescent="0.2">
      <c r="B51" s="31">
        <v>145</v>
      </c>
      <c r="C51" s="31">
        <v>45</v>
      </c>
      <c r="D51" s="31">
        <v>36000</v>
      </c>
    </row>
    <row r="52" spans="2:4" x14ac:dyDescent="0.2">
      <c r="B52" s="31">
        <v>146</v>
      </c>
      <c r="C52" s="31">
        <v>46</v>
      </c>
      <c r="D52" s="31">
        <v>37000</v>
      </c>
    </row>
    <row r="53" spans="2:4" x14ac:dyDescent="0.2">
      <c r="B53" s="31">
        <v>147</v>
      </c>
      <c r="C53" s="31">
        <v>47</v>
      </c>
      <c r="D53" s="31">
        <v>38000</v>
      </c>
    </row>
    <row r="54" spans="2:4" x14ac:dyDescent="0.2">
      <c r="B54" s="31">
        <v>148</v>
      </c>
      <c r="C54" s="31">
        <v>48</v>
      </c>
      <c r="D54" s="31">
        <v>39000</v>
      </c>
    </row>
    <row r="55" spans="2:4" x14ac:dyDescent="0.2">
      <c r="B55" s="31">
        <v>149</v>
      </c>
      <c r="C55" s="31">
        <v>49</v>
      </c>
      <c r="D55" s="31">
        <v>40000</v>
      </c>
    </row>
    <row r="56" spans="2:4" x14ac:dyDescent="0.2">
      <c r="B56" s="31">
        <v>150</v>
      </c>
      <c r="C56" s="31">
        <v>50</v>
      </c>
      <c r="D56" s="31">
        <v>41000</v>
      </c>
    </row>
    <row r="57" spans="2:4" x14ac:dyDescent="0.2">
      <c r="B57" s="31">
        <v>151</v>
      </c>
      <c r="C57" s="31">
        <v>51</v>
      </c>
      <c r="D57" s="31">
        <v>42000</v>
      </c>
    </row>
    <row r="58" spans="2:4" x14ac:dyDescent="0.2">
      <c r="B58" s="31">
        <v>152</v>
      </c>
      <c r="C58" s="31">
        <v>52</v>
      </c>
      <c r="D58" s="31">
        <v>43000</v>
      </c>
    </row>
    <row r="59" spans="2:4" x14ac:dyDescent="0.2">
      <c r="B59" s="31">
        <v>153</v>
      </c>
      <c r="C59" s="31">
        <v>53</v>
      </c>
      <c r="D59" s="31">
        <v>44000</v>
      </c>
    </row>
    <row r="60" spans="2:4" x14ac:dyDescent="0.2">
      <c r="B60" s="31">
        <v>154</v>
      </c>
      <c r="C60" s="31">
        <v>54</v>
      </c>
      <c r="D60" s="31">
        <v>45000</v>
      </c>
    </row>
    <row r="61" spans="2:4" x14ac:dyDescent="0.2">
      <c r="B61" s="31">
        <v>155</v>
      </c>
      <c r="C61" s="31">
        <v>55</v>
      </c>
      <c r="D61" s="31">
        <v>46000</v>
      </c>
    </row>
    <row r="62" spans="2:4" x14ac:dyDescent="0.2">
      <c r="B62" s="31">
        <v>156</v>
      </c>
      <c r="C62" s="31">
        <v>56</v>
      </c>
      <c r="D62" s="31">
        <v>47000</v>
      </c>
    </row>
    <row r="63" spans="2:4" x14ac:dyDescent="0.2">
      <c r="B63" s="31">
        <v>157</v>
      </c>
      <c r="C63" s="31">
        <v>57</v>
      </c>
      <c r="D63" s="31">
        <v>48000</v>
      </c>
    </row>
    <row r="64" spans="2:4" x14ac:dyDescent="0.2">
      <c r="B64" s="31">
        <v>158</v>
      </c>
      <c r="C64" s="31">
        <v>58</v>
      </c>
      <c r="D64" s="31">
        <v>49000</v>
      </c>
    </row>
    <row r="65" spans="2:4" x14ac:dyDescent="0.2">
      <c r="B65" s="31">
        <v>159</v>
      </c>
      <c r="C65" s="31">
        <v>59</v>
      </c>
      <c r="D65" s="31">
        <v>50000</v>
      </c>
    </row>
    <row r="66" spans="2:4" x14ac:dyDescent="0.2">
      <c r="B66" s="31">
        <v>160</v>
      </c>
      <c r="C66" s="31">
        <v>60</v>
      </c>
      <c r="D66" s="31">
        <v>51000</v>
      </c>
    </row>
    <row r="67" spans="2:4" x14ac:dyDescent="0.2">
      <c r="B67" s="31">
        <v>161</v>
      </c>
      <c r="C67" s="31">
        <v>61</v>
      </c>
      <c r="D67" s="31">
        <v>52000</v>
      </c>
    </row>
    <row r="68" spans="2:4" x14ac:dyDescent="0.2">
      <c r="B68" s="31">
        <v>162</v>
      </c>
      <c r="C68" s="31">
        <v>62</v>
      </c>
      <c r="D68" s="31">
        <v>53000</v>
      </c>
    </row>
    <row r="69" spans="2:4" x14ac:dyDescent="0.2">
      <c r="B69" s="31">
        <v>163</v>
      </c>
      <c r="C69" s="31">
        <v>63</v>
      </c>
      <c r="D69" s="31">
        <v>54000</v>
      </c>
    </row>
    <row r="70" spans="2:4" x14ac:dyDescent="0.2">
      <c r="B70" s="31">
        <v>164</v>
      </c>
      <c r="C70" s="31">
        <v>64</v>
      </c>
      <c r="D70" s="31">
        <v>55000</v>
      </c>
    </row>
    <row r="71" spans="2:4" x14ac:dyDescent="0.2">
      <c r="B71" s="31">
        <v>165</v>
      </c>
      <c r="C71" s="31">
        <v>65</v>
      </c>
      <c r="D71" s="31">
        <v>56000</v>
      </c>
    </row>
    <row r="72" spans="2:4" x14ac:dyDescent="0.2">
      <c r="B72" s="31">
        <v>166</v>
      </c>
      <c r="C72" s="31">
        <v>66</v>
      </c>
      <c r="D72" s="31">
        <v>57000</v>
      </c>
    </row>
    <row r="73" spans="2:4" x14ac:dyDescent="0.2">
      <c r="B73" s="31">
        <v>167</v>
      </c>
      <c r="C73" s="31">
        <v>67</v>
      </c>
      <c r="D73" s="31">
        <v>58000</v>
      </c>
    </row>
    <row r="74" spans="2:4" x14ac:dyDescent="0.2">
      <c r="B74" s="31">
        <v>168</v>
      </c>
      <c r="C74" s="31">
        <v>68</v>
      </c>
      <c r="D74" s="31">
        <v>59000</v>
      </c>
    </row>
    <row r="75" spans="2:4" x14ac:dyDescent="0.2">
      <c r="B75" s="31">
        <v>169</v>
      </c>
      <c r="C75" s="31">
        <v>69</v>
      </c>
      <c r="D75" s="31">
        <v>60000</v>
      </c>
    </row>
    <row r="76" spans="2:4" x14ac:dyDescent="0.2">
      <c r="B76" s="31">
        <v>170</v>
      </c>
      <c r="C76" s="31">
        <v>70</v>
      </c>
      <c r="D76" s="31">
        <v>61000</v>
      </c>
    </row>
    <row r="77" spans="2:4" x14ac:dyDescent="0.2">
      <c r="B77" s="31">
        <v>171</v>
      </c>
      <c r="C77" s="31">
        <v>71</v>
      </c>
      <c r="D77" s="31">
        <v>62000</v>
      </c>
    </row>
    <row r="78" spans="2:4" x14ac:dyDescent="0.2">
      <c r="B78" s="31">
        <v>172</v>
      </c>
      <c r="C78" s="31">
        <v>72</v>
      </c>
      <c r="D78" s="31">
        <v>63000</v>
      </c>
    </row>
    <row r="79" spans="2:4" x14ac:dyDescent="0.2">
      <c r="B79" s="31">
        <v>173</v>
      </c>
      <c r="C79" s="31">
        <v>73</v>
      </c>
      <c r="D79" s="31">
        <v>64000</v>
      </c>
    </row>
    <row r="80" spans="2:4" x14ac:dyDescent="0.2">
      <c r="B80" s="31">
        <v>174</v>
      </c>
      <c r="C80" s="31">
        <v>74</v>
      </c>
      <c r="D80" s="31">
        <v>65000</v>
      </c>
    </row>
    <row r="81" spans="2:4" x14ac:dyDescent="0.2">
      <c r="B81" s="31">
        <v>175</v>
      </c>
      <c r="C81" s="31">
        <v>75</v>
      </c>
      <c r="D81" s="31">
        <v>66000</v>
      </c>
    </row>
    <row r="82" spans="2:4" x14ac:dyDescent="0.2">
      <c r="B82" s="31">
        <v>176</v>
      </c>
      <c r="C82" s="31">
        <v>76</v>
      </c>
      <c r="D82" s="31">
        <v>67000</v>
      </c>
    </row>
    <row r="83" spans="2:4" x14ac:dyDescent="0.2">
      <c r="B83" s="31">
        <v>177</v>
      </c>
      <c r="C83" s="31">
        <v>77</v>
      </c>
      <c r="D83" s="31">
        <v>68000</v>
      </c>
    </row>
    <row r="84" spans="2:4" x14ac:dyDescent="0.2">
      <c r="B84" s="31">
        <v>178</v>
      </c>
      <c r="C84" s="31">
        <v>78</v>
      </c>
      <c r="D84" s="31">
        <v>69000</v>
      </c>
    </row>
    <row r="85" spans="2:4" x14ac:dyDescent="0.2">
      <c r="B85" s="31">
        <v>179</v>
      </c>
      <c r="C85" s="31">
        <v>79</v>
      </c>
      <c r="D85" s="31">
        <v>70000</v>
      </c>
    </row>
    <row r="86" spans="2:4" x14ac:dyDescent="0.2">
      <c r="B86" s="31">
        <v>180</v>
      </c>
      <c r="C86" s="31">
        <v>80</v>
      </c>
      <c r="D86" s="31">
        <v>71000</v>
      </c>
    </row>
    <row r="87" spans="2:4" x14ac:dyDescent="0.2">
      <c r="B87" s="31">
        <v>181</v>
      </c>
      <c r="C87" s="31">
        <v>81</v>
      </c>
      <c r="D87" s="31">
        <v>72000</v>
      </c>
    </row>
    <row r="88" spans="2:4" x14ac:dyDescent="0.2">
      <c r="B88" s="31">
        <v>182</v>
      </c>
      <c r="C88" s="31">
        <v>82</v>
      </c>
      <c r="D88" s="31">
        <v>73000</v>
      </c>
    </row>
    <row r="89" spans="2:4" x14ac:dyDescent="0.2">
      <c r="B89" s="31">
        <v>183</v>
      </c>
      <c r="C89" s="31">
        <v>83</v>
      </c>
      <c r="D89" s="31">
        <v>74000</v>
      </c>
    </row>
    <row r="90" spans="2:4" x14ac:dyDescent="0.2">
      <c r="B90" s="31">
        <v>184</v>
      </c>
      <c r="C90" s="31">
        <v>84</v>
      </c>
      <c r="D90" s="31">
        <v>75000</v>
      </c>
    </row>
    <row r="91" spans="2:4" x14ac:dyDescent="0.2">
      <c r="B91" s="31">
        <v>185</v>
      </c>
      <c r="C91" s="31">
        <v>85</v>
      </c>
      <c r="D91" s="31">
        <v>76000</v>
      </c>
    </row>
    <row r="92" spans="2:4" x14ac:dyDescent="0.2">
      <c r="B92" s="31">
        <v>186</v>
      </c>
      <c r="C92" s="31">
        <v>86</v>
      </c>
      <c r="D92" s="31">
        <v>77000</v>
      </c>
    </row>
    <row r="93" spans="2:4" x14ac:dyDescent="0.2">
      <c r="B93" s="31">
        <v>187</v>
      </c>
      <c r="C93" s="31">
        <v>87</v>
      </c>
      <c r="D93" s="31">
        <v>78000</v>
      </c>
    </row>
    <row r="94" spans="2:4" x14ac:dyDescent="0.2">
      <c r="B94" s="31">
        <v>188</v>
      </c>
      <c r="C94" s="31">
        <v>88</v>
      </c>
      <c r="D94" s="31">
        <v>79000</v>
      </c>
    </row>
    <row r="95" spans="2:4" x14ac:dyDescent="0.2">
      <c r="B95" s="31">
        <v>189</v>
      </c>
      <c r="C95" s="31">
        <v>89</v>
      </c>
      <c r="D95" s="31">
        <v>80000</v>
      </c>
    </row>
    <row r="96" spans="2:4" x14ac:dyDescent="0.2">
      <c r="B96" s="31">
        <v>190</v>
      </c>
      <c r="C96" s="31">
        <v>90</v>
      </c>
      <c r="D96" s="31">
        <v>81000</v>
      </c>
    </row>
    <row r="97" spans="2:4" x14ac:dyDescent="0.2">
      <c r="B97" s="31">
        <v>191</v>
      </c>
      <c r="C97" s="31">
        <v>91</v>
      </c>
      <c r="D97" s="31">
        <v>82000</v>
      </c>
    </row>
    <row r="98" spans="2:4" x14ac:dyDescent="0.2">
      <c r="B98" s="31">
        <v>192</v>
      </c>
      <c r="C98" s="31">
        <v>92</v>
      </c>
      <c r="D98" s="31">
        <v>83000</v>
      </c>
    </row>
    <row r="99" spans="2:4" x14ac:dyDescent="0.2">
      <c r="B99" s="31">
        <v>193</v>
      </c>
      <c r="C99" s="31">
        <v>93</v>
      </c>
      <c r="D99" s="31">
        <v>84000</v>
      </c>
    </row>
    <row r="100" spans="2:4" x14ac:dyDescent="0.2">
      <c r="B100" s="31">
        <v>194</v>
      </c>
      <c r="C100" s="31">
        <v>94</v>
      </c>
      <c r="D100" s="31">
        <v>85000</v>
      </c>
    </row>
    <row r="101" spans="2:4" x14ac:dyDescent="0.2">
      <c r="B101" s="31">
        <v>195</v>
      </c>
      <c r="C101" s="31">
        <v>95</v>
      </c>
      <c r="D101" s="31">
        <v>86000</v>
      </c>
    </row>
    <row r="102" spans="2:4" x14ac:dyDescent="0.2">
      <c r="B102" s="31">
        <v>196</v>
      </c>
      <c r="C102" s="31">
        <v>96</v>
      </c>
      <c r="D102" s="31">
        <v>87000</v>
      </c>
    </row>
    <row r="103" spans="2:4" x14ac:dyDescent="0.2">
      <c r="B103" s="31">
        <v>197</v>
      </c>
      <c r="C103" s="31">
        <v>97</v>
      </c>
      <c r="D103" s="31">
        <v>88000</v>
      </c>
    </row>
    <row r="104" spans="2:4" x14ac:dyDescent="0.2">
      <c r="B104" s="31">
        <v>198</v>
      </c>
      <c r="C104" s="31">
        <v>98</v>
      </c>
      <c r="D104" s="31">
        <v>89000</v>
      </c>
    </row>
    <row r="105" spans="2:4" x14ac:dyDescent="0.2">
      <c r="B105" s="31">
        <v>199</v>
      </c>
      <c r="C105" s="31">
        <v>99</v>
      </c>
      <c r="D105" s="31">
        <v>90000</v>
      </c>
    </row>
    <row r="106" spans="2:4" x14ac:dyDescent="0.2">
      <c r="B106" s="31">
        <v>200</v>
      </c>
      <c r="C106" s="31">
        <v>100</v>
      </c>
      <c r="D106" s="31"/>
    </row>
  </sheetData>
  <phoneticPr fontId="12" type="noConversion"/>
  <pageMargins left="0.7" right="0.7" top="0.75" bottom="0.75" header="0.3" footer="0.3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25"/>
  <sheetViews>
    <sheetView workbookViewId="0">
      <selection sqref="A1:XFD1048576"/>
    </sheetView>
  </sheetViews>
  <sheetFormatPr defaultColWidth="9" defaultRowHeight="14.25" x14ac:dyDescent="0.2"/>
  <cols>
    <col min="1" max="16384" width="9" style="57"/>
  </cols>
  <sheetData>
    <row r="1" spans="1:5" x14ac:dyDescent="0.2">
      <c r="A1" s="58" t="s">
        <v>0</v>
      </c>
      <c r="B1" s="58" t="s">
        <v>1</v>
      </c>
      <c r="C1" s="31" t="s">
        <v>44</v>
      </c>
      <c r="D1" s="31" t="s">
        <v>45</v>
      </c>
      <c r="E1" s="31" t="s">
        <v>46</v>
      </c>
    </row>
    <row r="2" spans="1:5" x14ac:dyDescent="0.2">
      <c r="A2" s="58" t="s">
        <v>0</v>
      </c>
      <c r="B2" s="58"/>
      <c r="C2" s="58"/>
      <c r="D2" s="58"/>
      <c r="E2" s="58"/>
    </row>
    <row r="3" spans="1:5" x14ac:dyDescent="0.2">
      <c r="A3" s="59" t="s">
        <v>6</v>
      </c>
      <c r="B3" s="31" t="s">
        <v>7</v>
      </c>
      <c r="C3" s="31" t="s">
        <v>7</v>
      </c>
      <c r="D3" s="31" t="s">
        <v>7</v>
      </c>
      <c r="E3" s="31" t="s">
        <v>47</v>
      </c>
    </row>
    <row r="4" spans="1:5" x14ac:dyDescent="0.2">
      <c r="A4" s="59" t="s">
        <v>9</v>
      </c>
      <c r="B4" s="59"/>
      <c r="C4" s="59"/>
      <c r="D4" s="59"/>
      <c r="E4" s="59"/>
    </row>
    <row r="5" spans="1:5" x14ac:dyDescent="0.2">
      <c r="A5" s="58" t="s">
        <v>10</v>
      </c>
      <c r="B5" s="31" t="s">
        <v>48</v>
      </c>
      <c r="C5" s="31" t="s">
        <v>49</v>
      </c>
      <c r="D5" s="31" t="s">
        <v>50</v>
      </c>
      <c r="E5" s="31" t="s">
        <v>51</v>
      </c>
    </row>
    <row r="6" spans="1:5" x14ac:dyDescent="0.2">
      <c r="B6" s="57">
        <v>0</v>
      </c>
      <c r="C6" s="57">
        <v>0</v>
      </c>
      <c r="D6" s="57">
        <v>4000</v>
      </c>
      <c r="E6" s="57">
        <v>4001</v>
      </c>
    </row>
    <row r="7" spans="1:5" x14ac:dyDescent="0.2">
      <c r="B7" s="57">
        <v>1</v>
      </c>
      <c r="C7" s="57">
        <v>1</v>
      </c>
      <c r="D7" s="57">
        <v>12000</v>
      </c>
      <c r="E7" s="57">
        <v>4002</v>
      </c>
    </row>
    <row r="8" spans="1:5" x14ac:dyDescent="0.2">
      <c r="B8" s="57">
        <v>2</v>
      </c>
      <c r="C8" s="57">
        <v>2</v>
      </c>
      <c r="D8" s="57">
        <v>24000</v>
      </c>
      <c r="E8" s="57">
        <v>4003</v>
      </c>
    </row>
    <row r="9" spans="1:5" x14ac:dyDescent="0.2">
      <c r="B9" s="57">
        <v>3</v>
      </c>
      <c r="C9" s="57">
        <v>3</v>
      </c>
      <c r="D9" s="57">
        <v>40000</v>
      </c>
      <c r="E9" s="57">
        <v>4004</v>
      </c>
    </row>
    <row r="10" spans="1:5" x14ac:dyDescent="0.2">
      <c r="B10" s="57">
        <v>4</v>
      </c>
      <c r="C10" s="57">
        <v>4</v>
      </c>
      <c r="D10" s="57">
        <v>60000</v>
      </c>
      <c r="E10" s="57">
        <v>4001</v>
      </c>
    </row>
    <row r="11" spans="1:5" x14ac:dyDescent="0.2">
      <c r="B11" s="57">
        <v>5</v>
      </c>
      <c r="C11" s="57">
        <v>5</v>
      </c>
      <c r="D11" s="57">
        <v>80000</v>
      </c>
      <c r="E11" s="57">
        <v>4002</v>
      </c>
    </row>
    <row r="12" spans="1:5" x14ac:dyDescent="0.2">
      <c r="B12" s="57">
        <v>6</v>
      </c>
      <c r="C12" s="57">
        <v>6</v>
      </c>
      <c r="D12" s="57">
        <v>100000</v>
      </c>
      <c r="E12" s="57">
        <v>4003</v>
      </c>
    </row>
    <row r="13" spans="1:5" x14ac:dyDescent="0.2">
      <c r="B13" s="57">
        <v>7</v>
      </c>
      <c r="C13" s="57">
        <v>7</v>
      </c>
      <c r="D13" s="57">
        <v>120000</v>
      </c>
      <c r="E13" s="57">
        <v>4008</v>
      </c>
    </row>
    <row r="14" spans="1:5" x14ac:dyDescent="0.2">
      <c r="B14" s="57">
        <v>8</v>
      </c>
      <c r="C14" s="57">
        <v>8</v>
      </c>
      <c r="D14" s="57">
        <v>140000</v>
      </c>
      <c r="E14" s="57">
        <v>4001</v>
      </c>
    </row>
    <row r="15" spans="1:5" x14ac:dyDescent="0.2">
      <c r="B15" s="57">
        <v>9</v>
      </c>
      <c r="C15" s="57">
        <v>9</v>
      </c>
      <c r="D15" s="57">
        <v>160000</v>
      </c>
      <c r="E15" s="57">
        <v>4002</v>
      </c>
    </row>
    <row r="16" spans="1:5" x14ac:dyDescent="0.2">
      <c r="B16" s="57">
        <v>10</v>
      </c>
      <c r="C16" s="57">
        <v>10</v>
      </c>
      <c r="D16" s="57">
        <v>180000</v>
      </c>
      <c r="E16" s="57">
        <v>4003</v>
      </c>
    </row>
    <row r="17" spans="2:5" x14ac:dyDescent="0.2">
      <c r="B17" s="57">
        <v>11</v>
      </c>
      <c r="C17" s="57">
        <v>11</v>
      </c>
      <c r="D17" s="57">
        <v>200000</v>
      </c>
      <c r="E17" s="57">
        <v>40012</v>
      </c>
    </row>
    <row r="18" spans="2:5" x14ac:dyDescent="0.2">
      <c r="B18" s="57">
        <v>12</v>
      </c>
      <c r="C18" s="57">
        <v>12</v>
      </c>
      <c r="D18" s="57">
        <v>220000</v>
      </c>
      <c r="E18" s="57">
        <v>4001</v>
      </c>
    </row>
    <row r="19" spans="2:5" x14ac:dyDescent="0.2">
      <c r="B19" s="57">
        <v>13</v>
      </c>
      <c r="C19" s="57">
        <v>13</v>
      </c>
      <c r="D19" s="57">
        <v>240000</v>
      </c>
      <c r="E19" s="57">
        <v>4002</v>
      </c>
    </row>
    <row r="20" spans="2:5" x14ac:dyDescent="0.2">
      <c r="B20" s="57">
        <v>14</v>
      </c>
      <c r="C20" s="57">
        <v>14</v>
      </c>
      <c r="D20" s="57">
        <v>260000</v>
      </c>
      <c r="E20" s="57">
        <v>4003</v>
      </c>
    </row>
    <row r="21" spans="2:5" x14ac:dyDescent="0.2">
      <c r="B21" s="57">
        <v>15</v>
      </c>
      <c r="C21" s="57">
        <v>15</v>
      </c>
      <c r="D21" s="57">
        <v>280000</v>
      </c>
      <c r="E21" s="57">
        <v>40012</v>
      </c>
    </row>
    <row r="22" spans="2:5" x14ac:dyDescent="0.2">
      <c r="B22" s="57">
        <v>16</v>
      </c>
      <c r="C22" s="57">
        <v>16</v>
      </c>
      <c r="D22" s="57">
        <v>300000</v>
      </c>
      <c r="E22" s="57">
        <v>4001</v>
      </c>
    </row>
    <row r="23" spans="2:5" x14ac:dyDescent="0.2">
      <c r="B23" s="57">
        <v>17</v>
      </c>
      <c r="C23" s="57">
        <v>17</v>
      </c>
      <c r="D23" s="57">
        <v>320000</v>
      </c>
      <c r="E23" s="57">
        <v>4002</v>
      </c>
    </row>
    <row r="24" spans="2:5" x14ac:dyDescent="0.2">
      <c r="B24" s="57">
        <v>18</v>
      </c>
      <c r="C24" s="57">
        <v>18</v>
      </c>
      <c r="D24" s="57">
        <v>340000</v>
      </c>
      <c r="E24" s="57">
        <v>4003</v>
      </c>
    </row>
    <row r="25" spans="2:5" x14ac:dyDescent="0.2">
      <c r="B25" s="57">
        <v>19</v>
      </c>
      <c r="C25" s="57">
        <v>19</v>
      </c>
      <c r="D25" s="57">
        <v>360000</v>
      </c>
      <c r="E25" s="57">
        <v>40012</v>
      </c>
    </row>
  </sheetData>
  <phoneticPr fontId="12" type="noConversion"/>
  <pageMargins left="0.7" right="0.7" top="0.75" bottom="0.75" header="0.3" footer="0.3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23"/>
  <sheetViews>
    <sheetView workbookViewId="0">
      <selection activeCell="N28" sqref="N28"/>
    </sheetView>
  </sheetViews>
  <sheetFormatPr defaultColWidth="9" defaultRowHeight="14.25" x14ac:dyDescent="0.2"/>
  <cols>
    <col min="5" max="5" width="9.375"/>
    <col min="7" max="7" width="14.625" customWidth="1"/>
    <col min="8" max="8" width="15.25" style="1" customWidth="1"/>
    <col min="9" max="9" width="9" style="1"/>
    <col min="10" max="10" width="9.375"/>
  </cols>
  <sheetData>
    <row r="1" spans="1:9" x14ac:dyDescent="0.2">
      <c r="A1" s="55" t="s">
        <v>0</v>
      </c>
      <c r="B1" s="55" t="s">
        <v>1</v>
      </c>
      <c r="C1" s="3" t="s">
        <v>52</v>
      </c>
      <c r="D1" s="3" t="s">
        <v>31</v>
      </c>
      <c r="E1" s="3" t="s">
        <v>32</v>
      </c>
      <c r="F1" s="3" t="s">
        <v>53</v>
      </c>
      <c r="G1" s="36" t="s">
        <v>54</v>
      </c>
      <c r="H1" s="3" t="s">
        <v>55</v>
      </c>
      <c r="I1" s="3" t="s">
        <v>56</v>
      </c>
    </row>
    <row r="2" spans="1:9" x14ac:dyDescent="0.2">
      <c r="A2" s="55" t="s">
        <v>0</v>
      </c>
      <c r="B2" s="55"/>
      <c r="C2" s="55"/>
      <c r="D2" s="55"/>
      <c r="E2" s="55"/>
      <c r="F2" s="55"/>
      <c r="G2" s="55"/>
      <c r="H2" s="2"/>
      <c r="I2" s="2"/>
    </row>
    <row r="3" spans="1:9" x14ac:dyDescent="0.2">
      <c r="A3" s="56" t="s">
        <v>6</v>
      </c>
      <c r="B3" s="3" t="s">
        <v>7</v>
      </c>
      <c r="C3" s="3" t="s">
        <v>7</v>
      </c>
      <c r="D3" s="3" t="s">
        <v>7</v>
      </c>
      <c r="E3" s="3" t="s">
        <v>47</v>
      </c>
      <c r="F3" s="3" t="s">
        <v>47</v>
      </c>
      <c r="G3" s="3" t="s">
        <v>7</v>
      </c>
      <c r="H3" s="3" t="s">
        <v>7</v>
      </c>
      <c r="I3" s="3" t="s">
        <v>7</v>
      </c>
    </row>
    <row r="4" spans="1:9" x14ac:dyDescent="0.2">
      <c r="A4" s="56" t="s">
        <v>9</v>
      </c>
      <c r="B4" s="56"/>
      <c r="C4" s="56"/>
      <c r="D4" s="56"/>
      <c r="E4" s="56"/>
      <c r="F4" s="56"/>
      <c r="G4" s="56" t="s">
        <v>57</v>
      </c>
      <c r="H4" s="5"/>
      <c r="I4" s="5"/>
    </row>
    <row r="5" spans="1:9" x14ac:dyDescent="0.2">
      <c r="A5" s="55" t="s">
        <v>10</v>
      </c>
      <c r="B5" s="3" t="s">
        <v>58</v>
      </c>
      <c r="C5" s="3" t="s">
        <v>59</v>
      </c>
      <c r="D5" s="3" t="s">
        <v>60</v>
      </c>
      <c r="E5" s="3" t="s">
        <v>61</v>
      </c>
      <c r="F5" s="3" t="s">
        <v>62</v>
      </c>
      <c r="G5" s="3" t="s">
        <v>63</v>
      </c>
      <c r="H5" s="3" t="s">
        <v>64</v>
      </c>
      <c r="I5" s="3" t="s">
        <v>65</v>
      </c>
    </row>
    <row r="6" spans="1:9" x14ac:dyDescent="0.2">
      <c r="B6" s="11">
        <v>9000</v>
      </c>
      <c r="C6" s="11">
        <v>1</v>
      </c>
      <c r="D6" s="11">
        <v>10000</v>
      </c>
      <c r="E6" s="11">
        <v>600</v>
      </c>
      <c r="F6" s="11">
        <v>6</v>
      </c>
      <c r="G6" s="11">
        <v>0</v>
      </c>
      <c r="H6" s="1">
        <v>0</v>
      </c>
      <c r="I6" s="1">
        <v>0</v>
      </c>
    </row>
    <row r="7" spans="1:9" x14ac:dyDescent="0.2">
      <c r="B7" s="11">
        <v>9001</v>
      </c>
      <c r="C7" s="11">
        <v>1</v>
      </c>
      <c r="D7" s="11">
        <v>10000</v>
      </c>
      <c r="E7" s="11">
        <v>3000</v>
      </c>
      <c r="F7" s="11">
        <v>30</v>
      </c>
      <c r="G7" s="11">
        <v>0</v>
      </c>
      <c r="H7" s="1">
        <v>0</v>
      </c>
      <c r="I7" s="1">
        <v>0</v>
      </c>
    </row>
    <row r="8" spans="1:9" x14ac:dyDescent="0.2">
      <c r="B8" s="11">
        <v>9002</v>
      </c>
      <c r="C8" s="11">
        <v>1</v>
      </c>
      <c r="D8" s="11">
        <v>10000</v>
      </c>
      <c r="E8" s="11">
        <v>9800</v>
      </c>
      <c r="F8" s="11">
        <v>98</v>
      </c>
      <c r="G8" s="11">
        <v>0</v>
      </c>
      <c r="H8" s="1">
        <v>0</v>
      </c>
      <c r="I8" s="1">
        <v>0</v>
      </c>
    </row>
    <row r="9" spans="1:9" x14ac:dyDescent="0.2">
      <c r="B9" s="11">
        <v>9003</v>
      </c>
      <c r="C9" s="11">
        <v>1</v>
      </c>
      <c r="D9" s="11">
        <v>10000</v>
      </c>
      <c r="E9" s="11">
        <v>19800</v>
      </c>
      <c r="F9" s="11">
        <v>198</v>
      </c>
      <c r="G9" s="11">
        <v>0</v>
      </c>
      <c r="H9" s="1">
        <v>0</v>
      </c>
      <c r="I9" s="1">
        <v>0</v>
      </c>
    </row>
    <row r="10" spans="1:9" x14ac:dyDescent="0.2">
      <c r="B10" s="11">
        <v>9004</v>
      </c>
      <c r="C10" s="11">
        <v>1</v>
      </c>
      <c r="D10" s="11">
        <v>10000</v>
      </c>
      <c r="E10" s="11">
        <v>32800</v>
      </c>
      <c r="F10" s="11">
        <v>328</v>
      </c>
      <c r="G10" s="11">
        <v>0</v>
      </c>
      <c r="H10" s="1">
        <v>0</v>
      </c>
      <c r="I10" s="1">
        <v>0</v>
      </c>
    </row>
    <row r="11" spans="1:9" x14ac:dyDescent="0.2">
      <c r="B11" s="81">
        <v>9005</v>
      </c>
      <c r="C11" s="81">
        <v>1</v>
      </c>
      <c r="D11" s="81">
        <v>10000</v>
      </c>
      <c r="E11" s="81">
        <v>64800</v>
      </c>
      <c r="F11" s="81">
        <v>648</v>
      </c>
      <c r="G11" s="81">
        <v>0</v>
      </c>
      <c r="H11" s="82">
        <v>0</v>
      </c>
      <c r="I11" s="82">
        <v>0</v>
      </c>
    </row>
    <row r="12" spans="1:9" x14ac:dyDescent="0.2">
      <c r="B12" s="11">
        <v>9018</v>
      </c>
      <c r="C12" s="11">
        <v>4</v>
      </c>
      <c r="D12" s="11">
        <v>10002</v>
      </c>
      <c r="E12" s="11">
        <v>40000</v>
      </c>
      <c r="F12" s="11">
        <v>100</v>
      </c>
      <c r="G12" s="11">
        <v>0</v>
      </c>
      <c r="H12" s="1">
        <v>0</v>
      </c>
      <c r="I12" s="1">
        <v>0</v>
      </c>
    </row>
    <row r="13" spans="1:9" x14ac:dyDescent="0.2">
      <c r="B13" s="11">
        <v>9019</v>
      </c>
      <c r="C13" s="11">
        <v>4</v>
      </c>
      <c r="D13" s="11">
        <v>10002</v>
      </c>
      <c r="E13" s="11">
        <v>1200000</v>
      </c>
      <c r="F13" s="11">
        <v>3000</v>
      </c>
      <c r="G13" s="11">
        <v>0</v>
      </c>
      <c r="H13" s="1">
        <v>0</v>
      </c>
      <c r="I13" s="1">
        <v>0</v>
      </c>
    </row>
    <row r="14" spans="1:9" x14ac:dyDescent="0.2">
      <c r="B14" s="11">
        <v>9020</v>
      </c>
      <c r="C14" s="11">
        <v>4</v>
      </c>
      <c r="D14" s="11">
        <v>10002</v>
      </c>
      <c r="E14" s="11">
        <v>3920000</v>
      </c>
      <c r="F14" s="11">
        <v>9800</v>
      </c>
      <c r="G14" s="11">
        <v>0</v>
      </c>
      <c r="H14" s="1">
        <v>0</v>
      </c>
      <c r="I14" s="1">
        <v>0</v>
      </c>
    </row>
    <row r="15" spans="1:9" x14ac:dyDescent="0.2">
      <c r="B15" s="11">
        <v>9021</v>
      </c>
      <c r="C15" s="11">
        <v>4</v>
      </c>
      <c r="D15" s="11">
        <v>10002</v>
      </c>
      <c r="E15" s="11">
        <v>7920000</v>
      </c>
      <c r="F15" s="11">
        <v>19800</v>
      </c>
      <c r="G15" s="11">
        <v>0</v>
      </c>
      <c r="H15" s="1">
        <v>0</v>
      </c>
      <c r="I15" s="1">
        <v>0</v>
      </c>
    </row>
    <row r="16" spans="1:9" x14ac:dyDescent="0.2">
      <c r="B16" s="11">
        <v>9022</v>
      </c>
      <c r="C16" s="11">
        <v>4</v>
      </c>
      <c r="D16" s="11">
        <v>10002</v>
      </c>
      <c r="E16" s="11">
        <v>13120000</v>
      </c>
      <c r="F16" s="11">
        <v>32800</v>
      </c>
      <c r="G16" s="11">
        <v>0</v>
      </c>
      <c r="H16" s="1">
        <v>0</v>
      </c>
      <c r="I16" s="1">
        <v>0</v>
      </c>
    </row>
    <row r="17" spans="2:9" x14ac:dyDescent="0.2">
      <c r="B17" s="11">
        <v>9023</v>
      </c>
      <c r="C17" s="11">
        <v>4</v>
      </c>
      <c r="D17" s="11">
        <v>10002</v>
      </c>
      <c r="E17" s="11">
        <v>25920000</v>
      </c>
      <c r="F17" s="81">
        <v>64800</v>
      </c>
      <c r="G17" s="11">
        <v>0</v>
      </c>
      <c r="H17" s="1">
        <v>0</v>
      </c>
      <c r="I17" s="1">
        <v>0</v>
      </c>
    </row>
    <row r="18" spans="2:9" x14ac:dyDescent="0.2">
      <c r="B18" s="11">
        <v>9030</v>
      </c>
      <c r="C18" s="11">
        <v>6</v>
      </c>
      <c r="D18" s="11">
        <v>10002</v>
      </c>
      <c r="E18" s="11">
        <v>504000</v>
      </c>
      <c r="F18" s="11">
        <v>60000</v>
      </c>
      <c r="G18" s="1">
        <v>210</v>
      </c>
      <c r="H18" s="1">
        <v>0</v>
      </c>
      <c r="I18" s="1">
        <v>3</v>
      </c>
    </row>
    <row r="19" spans="2:9" x14ac:dyDescent="0.2">
      <c r="B19" s="11">
        <v>9031</v>
      </c>
      <c r="C19" s="11">
        <v>6</v>
      </c>
      <c r="D19" s="11">
        <v>10002</v>
      </c>
      <c r="E19" s="11">
        <v>3060000</v>
      </c>
      <c r="F19" s="11">
        <v>360000</v>
      </c>
      <c r="G19" s="1">
        <v>213</v>
      </c>
      <c r="H19" s="1">
        <v>0</v>
      </c>
      <c r="I19" s="1">
        <v>3</v>
      </c>
    </row>
    <row r="20" spans="2:9" x14ac:dyDescent="0.2">
      <c r="B20" s="11">
        <v>9032</v>
      </c>
      <c r="C20" s="11">
        <v>6</v>
      </c>
      <c r="D20" s="11">
        <v>10002</v>
      </c>
      <c r="E20" s="11">
        <v>7656000</v>
      </c>
      <c r="F20" s="11">
        <v>880000</v>
      </c>
      <c r="G20" s="11">
        <v>218</v>
      </c>
      <c r="H20" s="1">
        <v>0</v>
      </c>
      <c r="I20" s="1">
        <v>3</v>
      </c>
    </row>
    <row r="21" spans="2:9" x14ac:dyDescent="0.2">
      <c r="B21" s="11">
        <v>9033</v>
      </c>
      <c r="C21" s="11">
        <v>6</v>
      </c>
      <c r="D21" s="11">
        <v>10002</v>
      </c>
      <c r="E21" s="11">
        <v>16920000</v>
      </c>
      <c r="F21" s="11">
        <v>1880000</v>
      </c>
      <c r="G21" s="11">
        <v>225</v>
      </c>
      <c r="H21" s="1">
        <v>0</v>
      </c>
      <c r="I21" s="1">
        <v>3</v>
      </c>
    </row>
    <row r="22" spans="2:9" x14ac:dyDescent="0.2">
      <c r="B22" s="11">
        <v>9034</v>
      </c>
      <c r="C22" s="11">
        <v>6</v>
      </c>
      <c r="D22" s="11">
        <v>10002</v>
      </c>
      <c r="E22" s="11">
        <v>35696000</v>
      </c>
      <c r="F22" s="11">
        <v>3880000</v>
      </c>
      <c r="G22" s="11">
        <v>230</v>
      </c>
      <c r="H22" s="1">
        <v>0</v>
      </c>
      <c r="I22" s="1">
        <v>3</v>
      </c>
    </row>
    <row r="23" spans="2:9" x14ac:dyDescent="0.2">
      <c r="B23" s="11">
        <v>9035</v>
      </c>
      <c r="C23" s="11">
        <v>6</v>
      </c>
      <c r="D23" s="11">
        <v>10002</v>
      </c>
      <c r="E23" s="11">
        <v>61560000</v>
      </c>
      <c r="F23" s="11">
        <v>6480000</v>
      </c>
      <c r="G23" s="11">
        <v>238</v>
      </c>
      <c r="H23" s="1">
        <v>0</v>
      </c>
      <c r="I23" s="1">
        <v>3</v>
      </c>
    </row>
  </sheetData>
  <phoneticPr fontId="12" type="noConversion"/>
  <conditionalFormatting sqref="A1:E5 F2:I2 F4:I4">
    <cfRule type="duplicateValues" dxfId="10" priority="2"/>
  </conditionalFormatting>
  <conditionalFormatting sqref="H3:I3">
    <cfRule type="duplicateValues" dxfId="9" priority="1"/>
  </conditionalFormatting>
  <pageMargins left="0.7" right="0.7" top="0.75" bottom="0.75" header="0.3" footer="0.3"/>
  <pageSetup paperSize="9" orientation="portrait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T9"/>
  <sheetViews>
    <sheetView workbookViewId="0">
      <selection activeCell="E24" sqref="E24"/>
    </sheetView>
  </sheetViews>
  <sheetFormatPr defaultColWidth="9" defaultRowHeight="14.25" x14ac:dyDescent="0.2"/>
  <cols>
    <col min="5" max="5" width="60.25" customWidth="1"/>
    <col min="6" max="6" width="29.125" style="20" customWidth="1"/>
    <col min="7" max="7" width="15" customWidth="1"/>
    <col min="8" max="8" width="21.125" style="69" customWidth="1"/>
    <col min="9" max="9" width="24" customWidth="1"/>
    <col min="10" max="10" width="18.75" customWidth="1"/>
    <col min="11" max="11" width="15.75" style="69" customWidth="1"/>
    <col min="12" max="12" width="16.625" style="69" customWidth="1"/>
    <col min="13" max="13" width="18.875" style="69" customWidth="1"/>
    <col min="14" max="14" width="17.25" style="69" customWidth="1"/>
    <col min="15" max="15" width="15.875" style="69" customWidth="1"/>
    <col min="16" max="16" width="18.25" style="1" customWidth="1"/>
    <col min="17" max="17" width="15.875" style="1" customWidth="1"/>
    <col min="18" max="18" width="15.875" style="19" customWidth="1"/>
    <col min="19" max="19" width="27.75" style="1" customWidth="1"/>
    <col min="20" max="20" width="25.5" style="1" customWidth="1"/>
  </cols>
  <sheetData>
    <row r="1" spans="1:20" x14ac:dyDescent="0.2">
      <c r="A1" s="55" t="s">
        <v>0</v>
      </c>
      <c r="B1" s="3" t="s">
        <v>1</v>
      </c>
      <c r="C1" s="3" t="s">
        <v>52</v>
      </c>
      <c r="D1" s="3" t="s">
        <v>66</v>
      </c>
      <c r="E1" s="3" t="s">
        <v>67</v>
      </c>
      <c r="F1" s="4" t="s">
        <v>68</v>
      </c>
      <c r="G1" s="49" t="s">
        <v>69</v>
      </c>
      <c r="H1" s="70" t="s">
        <v>70</v>
      </c>
      <c r="I1" s="3" t="s">
        <v>71</v>
      </c>
      <c r="J1" s="3" t="s">
        <v>72</v>
      </c>
      <c r="K1" s="70" t="s">
        <v>73</v>
      </c>
      <c r="L1" s="70" t="s">
        <v>74</v>
      </c>
      <c r="M1" s="70" t="s">
        <v>75</v>
      </c>
      <c r="N1" s="70" t="s">
        <v>76</v>
      </c>
      <c r="O1" s="70" t="s">
        <v>77</v>
      </c>
      <c r="P1" s="3" t="s">
        <v>78</v>
      </c>
      <c r="Q1" s="3" t="s">
        <v>79</v>
      </c>
      <c r="R1" s="4" t="s">
        <v>80</v>
      </c>
      <c r="S1" s="3" t="s">
        <v>81</v>
      </c>
      <c r="T1" s="3" t="s">
        <v>82</v>
      </c>
    </row>
    <row r="2" spans="1:20" x14ac:dyDescent="0.2">
      <c r="A2" s="55" t="s">
        <v>0</v>
      </c>
      <c r="B2" s="55"/>
      <c r="C2" s="55"/>
      <c r="D2" s="55"/>
      <c r="E2" s="71"/>
      <c r="F2" s="72"/>
      <c r="G2" s="55"/>
      <c r="H2" s="73"/>
      <c r="I2" s="55"/>
      <c r="J2" s="55"/>
      <c r="K2" s="73"/>
      <c r="L2" s="73"/>
      <c r="M2" s="73"/>
      <c r="N2" s="73"/>
      <c r="O2" s="73"/>
      <c r="P2" s="2"/>
      <c r="Q2" s="2"/>
      <c r="R2" s="21"/>
      <c r="S2" s="2"/>
      <c r="T2" s="2"/>
    </row>
    <row r="3" spans="1:20" x14ac:dyDescent="0.2">
      <c r="A3" s="56" t="s">
        <v>6</v>
      </c>
      <c r="B3" s="18" t="s">
        <v>7</v>
      </c>
      <c r="C3" s="18" t="s">
        <v>7</v>
      </c>
      <c r="D3" s="3" t="s">
        <v>8</v>
      </c>
      <c r="E3" s="18" t="s">
        <v>83</v>
      </c>
      <c r="F3" s="74" t="s">
        <v>7</v>
      </c>
      <c r="G3" s="75" t="s">
        <v>47</v>
      </c>
      <c r="H3" s="76" t="s">
        <v>7</v>
      </c>
      <c r="I3" s="75" t="s">
        <v>7</v>
      </c>
      <c r="J3" s="75" t="s">
        <v>7</v>
      </c>
      <c r="K3" s="76" t="s">
        <v>7</v>
      </c>
      <c r="L3" s="76" t="s">
        <v>7</v>
      </c>
      <c r="M3" s="76" t="s">
        <v>7</v>
      </c>
      <c r="N3" s="76" t="s">
        <v>7</v>
      </c>
      <c r="O3" s="76" t="s">
        <v>7</v>
      </c>
      <c r="P3" s="75" t="s">
        <v>7</v>
      </c>
      <c r="Q3" s="75" t="s">
        <v>47</v>
      </c>
      <c r="R3" s="74" t="s">
        <v>83</v>
      </c>
      <c r="S3" s="75" t="s">
        <v>7</v>
      </c>
      <c r="T3" s="75" t="s">
        <v>7</v>
      </c>
    </row>
    <row r="4" spans="1:20" x14ac:dyDescent="0.2">
      <c r="A4" s="56" t="s">
        <v>9</v>
      </c>
      <c r="B4" s="56"/>
      <c r="C4" s="56"/>
      <c r="D4" s="56" t="s">
        <v>57</v>
      </c>
      <c r="E4" s="77"/>
      <c r="F4" s="78"/>
      <c r="G4" s="56"/>
      <c r="H4" s="79"/>
      <c r="I4" s="56"/>
      <c r="J4" s="56"/>
      <c r="K4" s="79"/>
      <c r="L4" s="79"/>
      <c r="M4" s="79"/>
      <c r="N4" s="79"/>
      <c r="O4" s="79"/>
      <c r="P4" s="5"/>
      <c r="Q4" s="5"/>
      <c r="R4" s="22"/>
      <c r="S4" s="5"/>
      <c r="T4" s="5"/>
    </row>
    <row r="5" spans="1:20" x14ac:dyDescent="0.2">
      <c r="A5" s="55" t="s">
        <v>10</v>
      </c>
      <c r="B5" s="18" t="s">
        <v>48</v>
      </c>
      <c r="C5" s="18" t="s">
        <v>84</v>
      </c>
      <c r="D5" s="18" t="s">
        <v>85</v>
      </c>
      <c r="E5" s="18" t="s">
        <v>86</v>
      </c>
      <c r="F5" s="74" t="s">
        <v>87</v>
      </c>
      <c r="G5" s="75" t="s">
        <v>88</v>
      </c>
      <c r="H5" s="70" t="s">
        <v>89</v>
      </c>
      <c r="I5" s="18" t="s">
        <v>90</v>
      </c>
      <c r="J5" s="18" t="s">
        <v>91</v>
      </c>
      <c r="K5" s="70" t="s">
        <v>92</v>
      </c>
      <c r="L5" s="70" t="s">
        <v>93</v>
      </c>
      <c r="M5" s="70" t="s">
        <v>94</v>
      </c>
      <c r="N5" s="70" t="s">
        <v>95</v>
      </c>
      <c r="O5" s="70" t="s">
        <v>96</v>
      </c>
      <c r="P5" s="18" t="s">
        <v>97</v>
      </c>
      <c r="Q5" s="18" t="s">
        <v>98</v>
      </c>
      <c r="R5" s="74" t="s">
        <v>99</v>
      </c>
      <c r="S5" s="18" t="s">
        <v>100</v>
      </c>
      <c r="T5" s="18" t="s">
        <v>101</v>
      </c>
    </row>
    <row r="6" spans="1:20" x14ac:dyDescent="0.2">
      <c r="B6" s="11">
        <v>100</v>
      </c>
      <c r="C6" s="11">
        <v>1</v>
      </c>
      <c r="D6" s="11" t="s">
        <v>102</v>
      </c>
      <c r="E6" s="6" t="s">
        <v>103</v>
      </c>
      <c r="F6" s="11">
        <v>50000</v>
      </c>
      <c r="G6" s="80">
        <v>50000000</v>
      </c>
      <c r="H6" s="70">
        <v>100</v>
      </c>
      <c r="I6" s="11">
        <v>7</v>
      </c>
      <c r="J6" s="11">
        <v>40</v>
      </c>
      <c r="K6" s="70">
        <v>1</v>
      </c>
      <c r="L6" s="70">
        <v>1020</v>
      </c>
      <c r="M6" s="70">
        <v>980</v>
      </c>
      <c r="N6" s="70">
        <v>1020</v>
      </c>
      <c r="O6" s="70">
        <v>980</v>
      </c>
      <c r="P6" s="1">
        <v>1</v>
      </c>
      <c r="Q6" s="1">
        <v>0</v>
      </c>
      <c r="R6" s="19" t="s">
        <v>104</v>
      </c>
      <c r="S6" s="1">
        <v>11</v>
      </c>
      <c r="T6" s="1">
        <v>3000000</v>
      </c>
    </row>
    <row r="7" spans="1:20" x14ac:dyDescent="0.2">
      <c r="B7" s="11">
        <v>101</v>
      </c>
      <c r="C7" s="11">
        <v>2</v>
      </c>
      <c r="D7" s="11" t="s">
        <v>105</v>
      </c>
      <c r="E7" s="6" t="s">
        <v>106</v>
      </c>
      <c r="F7" s="11">
        <v>50000</v>
      </c>
      <c r="G7" s="80">
        <v>60000000</v>
      </c>
      <c r="H7" s="70">
        <v>100</v>
      </c>
      <c r="I7" s="11">
        <v>7</v>
      </c>
      <c r="J7" s="11">
        <v>40</v>
      </c>
      <c r="K7" s="70">
        <v>1</v>
      </c>
      <c r="L7" s="70">
        <v>1020</v>
      </c>
      <c r="M7" s="70">
        <v>980</v>
      </c>
      <c r="N7" s="70">
        <v>1020</v>
      </c>
      <c r="O7" s="70">
        <v>980</v>
      </c>
      <c r="P7" s="1">
        <v>11</v>
      </c>
      <c r="Q7" s="1">
        <v>2000</v>
      </c>
      <c r="R7" s="19" t="s">
        <v>104</v>
      </c>
      <c r="S7" s="1">
        <v>0</v>
      </c>
      <c r="T7" s="1">
        <v>0</v>
      </c>
    </row>
    <row r="8" spans="1:20" x14ac:dyDescent="0.2">
      <c r="B8" s="11">
        <v>102</v>
      </c>
      <c r="C8" s="11">
        <v>3</v>
      </c>
      <c r="D8" s="11" t="s">
        <v>107</v>
      </c>
      <c r="E8" s="6" t="s">
        <v>108</v>
      </c>
      <c r="F8" s="11">
        <v>50000</v>
      </c>
      <c r="G8" s="80">
        <v>200000000</v>
      </c>
      <c r="H8" s="70">
        <v>100</v>
      </c>
      <c r="I8" s="11">
        <v>6</v>
      </c>
      <c r="J8" s="11">
        <v>40</v>
      </c>
      <c r="K8" s="70">
        <v>1</v>
      </c>
      <c r="L8" s="70">
        <v>1020</v>
      </c>
      <c r="M8" s="70">
        <v>980</v>
      </c>
      <c r="N8" s="70">
        <v>1020</v>
      </c>
      <c r="O8" s="70">
        <v>980</v>
      </c>
      <c r="P8" s="1">
        <v>19</v>
      </c>
      <c r="Q8" s="1">
        <v>500000</v>
      </c>
      <c r="R8" s="19" t="s">
        <v>104</v>
      </c>
      <c r="S8" s="1">
        <v>0</v>
      </c>
      <c r="T8" s="1">
        <v>0</v>
      </c>
    </row>
    <row r="9" spans="1:20" s="1" customFormat="1" x14ac:dyDescent="0.2">
      <c r="B9" s="11">
        <v>103</v>
      </c>
      <c r="C9" s="1">
        <v>4</v>
      </c>
      <c r="D9" s="1" t="s">
        <v>109</v>
      </c>
      <c r="E9" s="6" t="s">
        <v>110</v>
      </c>
      <c r="F9" s="11">
        <v>50000</v>
      </c>
      <c r="G9" s="80">
        <v>60000000</v>
      </c>
      <c r="H9" s="70">
        <v>100</v>
      </c>
      <c r="I9" s="11">
        <v>6</v>
      </c>
      <c r="J9" s="11">
        <v>40</v>
      </c>
      <c r="K9" s="70">
        <v>1</v>
      </c>
      <c r="L9" s="70">
        <v>1020</v>
      </c>
      <c r="M9" s="70">
        <v>980</v>
      </c>
      <c r="N9" s="70">
        <v>1020</v>
      </c>
      <c r="O9" s="70">
        <v>980</v>
      </c>
      <c r="P9" s="1">
        <v>10</v>
      </c>
      <c r="Q9" s="1">
        <v>10000</v>
      </c>
      <c r="R9" s="19" t="s">
        <v>111</v>
      </c>
      <c r="S9" s="1">
        <v>0</v>
      </c>
      <c r="T9" s="1">
        <v>0</v>
      </c>
    </row>
  </sheetData>
  <phoneticPr fontId="12" type="noConversion"/>
  <pageMargins left="0.7" right="0.7" top="0.75" bottom="0.75" header="0.3" footer="0.3"/>
  <pageSetup paperSize="9" orientation="portrait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7"/>
  <sheetViews>
    <sheetView workbookViewId="0">
      <selection activeCell="J51" sqref="J51"/>
    </sheetView>
  </sheetViews>
  <sheetFormatPr defaultColWidth="9" defaultRowHeight="14.25" x14ac:dyDescent="0.2"/>
  <sheetData>
    <row r="1" spans="1:7" x14ac:dyDescent="0.2">
      <c r="A1" s="55" t="s">
        <v>0</v>
      </c>
      <c r="B1" s="55" t="s">
        <v>1</v>
      </c>
      <c r="C1" s="55" t="s">
        <v>112</v>
      </c>
      <c r="D1" s="55" t="s">
        <v>113</v>
      </c>
      <c r="E1" s="55" t="s">
        <v>114</v>
      </c>
      <c r="F1" s="55" t="s">
        <v>115</v>
      </c>
      <c r="G1" s="55" t="s">
        <v>116</v>
      </c>
    </row>
    <row r="2" spans="1:7" x14ac:dyDescent="0.2">
      <c r="A2" s="55" t="s">
        <v>0</v>
      </c>
      <c r="B2" s="55"/>
      <c r="C2" s="55"/>
      <c r="D2" s="55"/>
      <c r="E2" s="55"/>
      <c r="F2" s="55"/>
      <c r="G2" s="55"/>
    </row>
    <row r="3" spans="1:7" x14ac:dyDescent="0.2">
      <c r="A3" s="56" t="s">
        <v>6</v>
      </c>
      <c r="B3" s="56" t="s">
        <v>7</v>
      </c>
      <c r="C3" s="56" t="s">
        <v>8</v>
      </c>
      <c r="D3" s="56" t="s">
        <v>8</v>
      </c>
      <c r="E3" s="56" t="s">
        <v>7</v>
      </c>
      <c r="F3" s="56" t="s">
        <v>7</v>
      </c>
      <c r="G3" s="56" t="s">
        <v>7</v>
      </c>
    </row>
    <row r="4" spans="1:7" x14ac:dyDescent="0.2">
      <c r="A4" s="56" t="s">
        <v>9</v>
      </c>
      <c r="B4" s="56" t="s">
        <v>57</v>
      </c>
      <c r="C4" s="56" t="s">
        <v>57</v>
      </c>
      <c r="D4" s="56" t="s">
        <v>57</v>
      </c>
      <c r="E4" s="56" t="s">
        <v>57</v>
      </c>
      <c r="F4" s="56" t="s">
        <v>57</v>
      </c>
      <c r="G4" s="56" t="s">
        <v>57</v>
      </c>
    </row>
    <row r="5" spans="1:7" x14ac:dyDescent="0.2">
      <c r="A5" s="55" t="s">
        <v>10</v>
      </c>
      <c r="B5" s="55" t="s">
        <v>117</v>
      </c>
      <c r="C5" s="55" t="s">
        <v>118</v>
      </c>
      <c r="D5" s="55" t="s">
        <v>119</v>
      </c>
      <c r="E5" s="55" t="s">
        <v>120</v>
      </c>
      <c r="F5" s="55" t="s">
        <v>121</v>
      </c>
      <c r="G5" s="55" t="s">
        <v>122</v>
      </c>
    </row>
    <row r="6" spans="1:7" x14ac:dyDescent="0.2">
      <c r="A6" s="35"/>
      <c r="B6" s="35">
        <v>0</v>
      </c>
      <c r="C6" s="35" t="s">
        <v>123</v>
      </c>
      <c r="D6" s="35" t="s">
        <v>124</v>
      </c>
      <c r="E6" s="35">
        <v>0</v>
      </c>
      <c r="F6" s="35">
        <v>0</v>
      </c>
      <c r="G6" s="35">
        <v>1</v>
      </c>
    </row>
    <row r="7" spans="1:7" x14ac:dyDescent="0.2">
      <c r="A7" s="35"/>
      <c r="B7" s="35">
        <v>1</v>
      </c>
      <c r="C7" s="35" t="s">
        <v>125</v>
      </c>
      <c r="D7" s="35" t="s">
        <v>126</v>
      </c>
      <c r="E7" s="35">
        <v>0</v>
      </c>
      <c r="F7" s="35">
        <v>0</v>
      </c>
      <c r="G7" s="35">
        <v>-1</v>
      </c>
    </row>
  </sheetData>
  <phoneticPr fontId="12" type="noConversion"/>
  <pageMargins left="0.7" right="0.7" top="0.75" bottom="0.75" header="0.3" footer="0.3"/>
  <pageSetup paperSize="9"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13"/>
  <sheetViews>
    <sheetView workbookViewId="0">
      <selection activeCell="G6" sqref="G6:G10"/>
    </sheetView>
  </sheetViews>
  <sheetFormatPr defaultColWidth="9" defaultRowHeight="14.25" x14ac:dyDescent="0.2"/>
  <cols>
    <col min="1" max="2" width="9" style="1"/>
    <col min="3" max="3" width="17.5" style="1" customWidth="1"/>
    <col min="4" max="4" width="20.625" style="1" customWidth="1"/>
    <col min="5" max="5" width="17.25" style="1" customWidth="1"/>
    <col min="6" max="6" width="18.75" style="1" customWidth="1"/>
    <col min="7" max="7" width="23.5" style="1" customWidth="1"/>
    <col min="8" max="8" width="17.125" style="1" customWidth="1"/>
    <col min="9" max="9" width="12.625" style="1"/>
    <col min="10" max="16384" width="9" style="1"/>
  </cols>
  <sheetData>
    <row r="1" spans="1:8" x14ac:dyDescent="0.2">
      <c r="A1" s="2" t="s">
        <v>0</v>
      </c>
      <c r="B1" s="2" t="s">
        <v>1</v>
      </c>
      <c r="C1" s="2" t="s">
        <v>127</v>
      </c>
      <c r="D1" s="2" t="s">
        <v>128</v>
      </c>
      <c r="E1" s="2" t="s">
        <v>3</v>
      </c>
      <c r="F1" s="2" t="s">
        <v>129</v>
      </c>
      <c r="G1" s="2" t="s">
        <v>130</v>
      </c>
      <c r="H1" s="1" t="s">
        <v>131</v>
      </c>
    </row>
    <row r="2" spans="1:8" x14ac:dyDescent="0.2">
      <c r="A2" s="2" t="s">
        <v>0</v>
      </c>
      <c r="B2" s="2"/>
      <c r="C2" s="2"/>
      <c r="D2" s="2"/>
      <c r="E2" s="2"/>
      <c r="F2" s="2"/>
      <c r="G2" s="2"/>
    </row>
    <row r="3" spans="1:8" x14ac:dyDescent="0.2">
      <c r="A3" s="5" t="s">
        <v>6</v>
      </c>
      <c r="B3" s="5" t="s">
        <v>7</v>
      </c>
      <c r="C3" s="5" t="s">
        <v>7</v>
      </c>
      <c r="D3" s="5" t="s">
        <v>7</v>
      </c>
      <c r="E3" s="5" t="s">
        <v>7</v>
      </c>
      <c r="F3" s="5" t="s">
        <v>7</v>
      </c>
      <c r="G3" s="5" t="s">
        <v>7</v>
      </c>
    </row>
    <row r="4" spans="1:8" x14ac:dyDescent="0.2">
      <c r="A4" s="5" t="s">
        <v>9</v>
      </c>
      <c r="B4" s="5"/>
      <c r="C4" s="5"/>
      <c r="D4" s="5" t="s">
        <v>57</v>
      </c>
      <c r="E4" s="5"/>
      <c r="F4" s="5"/>
      <c r="G4" s="5"/>
    </row>
    <row r="5" spans="1:8" x14ac:dyDescent="0.2">
      <c r="A5" s="2" t="s">
        <v>10</v>
      </c>
      <c r="B5" s="2" t="s">
        <v>35</v>
      </c>
      <c r="C5" s="2" t="s">
        <v>132</v>
      </c>
      <c r="D5" s="2" t="s">
        <v>133</v>
      </c>
      <c r="E5" s="2" t="s">
        <v>134</v>
      </c>
      <c r="F5" s="2" t="s">
        <v>135</v>
      </c>
      <c r="G5" s="2" t="s">
        <v>136</v>
      </c>
      <c r="H5" s="39"/>
    </row>
    <row r="6" spans="1:8" x14ac:dyDescent="0.2">
      <c r="B6" s="11">
        <v>71101</v>
      </c>
      <c r="C6" s="11">
        <v>30</v>
      </c>
      <c r="D6" s="11">
        <v>50</v>
      </c>
      <c r="E6" s="11">
        <v>10002</v>
      </c>
      <c r="F6" s="11">
        <v>1200000</v>
      </c>
      <c r="G6" s="1">
        <v>1340000</v>
      </c>
      <c r="H6" s="39">
        <f>G6/F6</f>
        <v>1.1166666666666667</v>
      </c>
    </row>
    <row r="7" spans="1:8" x14ac:dyDescent="0.2">
      <c r="B7" s="11">
        <v>71102</v>
      </c>
      <c r="C7" s="11">
        <v>98</v>
      </c>
      <c r="D7" s="11">
        <v>176</v>
      </c>
      <c r="E7" s="11">
        <v>10002</v>
      </c>
      <c r="F7" s="11">
        <v>3920000</v>
      </c>
      <c r="G7" s="1">
        <v>4600000</v>
      </c>
      <c r="H7" s="39">
        <f>G7/F7</f>
        <v>1.1734693877551021</v>
      </c>
    </row>
    <row r="8" spans="1:8" x14ac:dyDescent="0.2">
      <c r="B8" s="11">
        <v>71103</v>
      </c>
      <c r="C8" s="11">
        <v>258</v>
      </c>
      <c r="D8" s="11">
        <v>478</v>
      </c>
      <c r="E8" s="11">
        <v>10002</v>
      </c>
      <c r="F8" s="11">
        <v>10320000</v>
      </c>
      <c r="G8" s="1">
        <v>12380000</v>
      </c>
      <c r="H8" s="39">
        <f>G8/F8</f>
        <v>1.1996124031007751</v>
      </c>
    </row>
    <row r="9" spans="1:8" x14ac:dyDescent="0.2">
      <c r="B9" s="11">
        <v>71104</v>
      </c>
      <c r="C9" s="11">
        <v>648</v>
      </c>
      <c r="D9" s="11">
        <v>1228</v>
      </c>
      <c r="E9" s="11">
        <v>10002</v>
      </c>
      <c r="F9" s="11">
        <v>25920000</v>
      </c>
      <c r="G9" s="1">
        <v>33080000</v>
      </c>
      <c r="H9" s="39">
        <f>G9/F9</f>
        <v>1.2762345679012346</v>
      </c>
    </row>
    <row r="10" spans="1:8" x14ac:dyDescent="0.2">
      <c r="B10" s="11">
        <v>71105</v>
      </c>
      <c r="C10" s="1">
        <v>1296</v>
      </c>
      <c r="D10" s="1">
        <v>2456</v>
      </c>
      <c r="E10" s="11">
        <v>10002</v>
      </c>
      <c r="F10" s="1">
        <v>51840000</v>
      </c>
      <c r="G10" s="1">
        <v>68680000</v>
      </c>
      <c r="H10" s="39">
        <f>G10/F10</f>
        <v>1.3248456790123457</v>
      </c>
    </row>
    <row r="11" spans="1:8" x14ac:dyDescent="0.2">
      <c r="H11" s="39"/>
    </row>
    <row r="12" spans="1:8" x14ac:dyDescent="0.2">
      <c r="H12" s="39"/>
    </row>
    <row r="13" spans="1:8" x14ac:dyDescent="0.2">
      <c r="H13" s="39"/>
    </row>
  </sheetData>
  <phoneticPr fontId="12" type="noConversion"/>
  <conditionalFormatting sqref="A1:E5">
    <cfRule type="duplicateValues" dxfId="8" priority="3"/>
  </conditionalFormatting>
  <conditionalFormatting sqref="F1:F5">
    <cfRule type="duplicateValues" dxfId="7" priority="2"/>
  </conditionalFormatting>
  <conditionalFormatting sqref="G1:G5">
    <cfRule type="duplicateValues" dxfId="6" priority="1"/>
  </conditionalFormatting>
  <pageMargins left="0.7" right="0.7" top="0.75" bottom="0.75" header="0.3" footer="0.3"/>
  <pageSetup paperSize="9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16"/>
  <sheetViews>
    <sheetView workbookViewId="0">
      <selection sqref="A1:XFD1048576"/>
    </sheetView>
  </sheetViews>
  <sheetFormatPr defaultColWidth="9" defaultRowHeight="14.25" x14ac:dyDescent="0.2"/>
  <cols>
    <col min="1" max="5" width="9" style="57"/>
    <col min="6" max="6" width="28.625" style="57" customWidth="1"/>
    <col min="7" max="16384" width="9" style="57"/>
  </cols>
  <sheetData>
    <row r="1" spans="1:6" x14ac:dyDescent="0.2">
      <c r="A1" s="58" t="s">
        <v>0</v>
      </c>
      <c r="B1" s="31" t="s">
        <v>1</v>
      </c>
      <c r="C1" s="31" t="s">
        <v>66</v>
      </c>
      <c r="D1" s="31" t="s">
        <v>40</v>
      </c>
      <c r="E1" s="31" t="s">
        <v>137</v>
      </c>
      <c r="F1" s="33" t="s">
        <v>3</v>
      </c>
    </row>
    <row r="2" spans="1:6" x14ac:dyDescent="0.2">
      <c r="A2" s="58" t="s">
        <v>0</v>
      </c>
      <c r="B2" s="58"/>
      <c r="C2" s="58"/>
      <c r="D2" s="58"/>
      <c r="E2" s="58"/>
    </row>
    <row r="3" spans="1:6" ht="28.5" x14ac:dyDescent="0.2">
      <c r="A3" s="59" t="s">
        <v>6</v>
      </c>
      <c r="B3" s="31" t="s">
        <v>7</v>
      </c>
      <c r="C3" s="31" t="s">
        <v>8</v>
      </c>
      <c r="D3" s="31" t="s">
        <v>7</v>
      </c>
      <c r="E3" s="31" t="s">
        <v>7</v>
      </c>
      <c r="F3" s="67" t="s">
        <v>138</v>
      </c>
    </row>
    <row r="4" spans="1:6" x14ac:dyDescent="0.2">
      <c r="A4" s="59" t="s">
        <v>9</v>
      </c>
      <c r="B4" s="59"/>
      <c r="C4" s="59"/>
      <c r="D4" s="59" t="s">
        <v>57</v>
      </c>
      <c r="E4" s="59" t="s">
        <v>139</v>
      </c>
      <c r="F4" s="68"/>
    </row>
    <row r="5" spans="1:6" x14ac:dyDescent="0.2">
      <c r="A5" s="58" t="s">
        <v>10</v>
      </c>
      <c r="B5" s="31" t="s">
        <v>140</v>
      </c>
      <c r="C5" s="31" t="s">
        <v>141</v>
      </c>
      <c r="D5" s="31" t="s">
        <v>142</v>
      </c>
      <c r="E5" s="31" t="s">
        <v>143</v>
      </c>
      <c r="F5" s="33" t="s">
        <v>144</v>
      </c>
    </row>
    <row r="6" spans="1:6" x14ac:dyDescent="0.2">
      <c r="B6" s="31">
        <v>10000001</v>
      </c>
      <c r="C6" s="31" t="s">
        <v>145</v>
      </c>
      <c r="D6" s="31">
        <v>1</v>
      </c>
      <c r="E6" s="31">
        <v>6</v>
      </c>
      <c r="F6" s="33" t="s">
        <v>146</v>
      </c>
    </row>
    <row r="7" spans="1:6" x14ac:dyDescent="0.2">
      <c r="B7" s="31">
        <v>10000002</v>
      </c>
      <c r="C7" s="31" t="s">
        <v>147</v>
      </c>
      <c r="D7" s="31">
        <v>2</v>
      </c>
      <c r="E7" s="31">
        <v>8</v>
      </c>
      <c r="F7" s="33" t="s">
        <v>148</v>
      </c>
    </row>
    <row r="8" spans="1:6" x14ac:dyDescent="0.2">
      <c r="B8" s="31">
        <v>10000003</v>
      </c>
      <c r="C8" s="31" t="s">
        <v>149</v>
      </c>
      <c r="D8" s="31">
        <v>3</v>
      </c>
      <c r="E8" s="31">
        <v>10</v>
      </c>
      <c r="F8" s="33" t="s">
        <v>150</v>
      </c>
    </row>
    <row r="9" spans="1:6" x14ac:dyDescent="0.2">
      <c r="B9" s="31">
        <v>10000004</v>
      </c>
      <c r="C9" s="31" t="s">
        <v>151</v>
      </c>
      <c r="D9" s="31">
        <v>4</v>
      </c>
      <c r="E9" s="31">
        <v>10</v>
      </c>
      <c r="F9" s="33" t="s">
        <v>152</v>
      </c>
    </row>
    <row r="10" spans="1:6" x14ac:dyDescent="0.2">
      <c r="B10" s="31">
        <v>10000005</v>
      </c>
      <c r="C10" s="31" t="s">
        <v>153</v>
      </c>
      <c r="D10" s="31">
        <v>5</v>
      </c>
      <c r="E10" s="31">
        <v>10</v>
      </c>
      <c r="F10" s="33" t="s">
        <v>154</v>
      </c>
    </row>
    <row r="11" spans="1:6" x14ac:dyDescent="0.2">
      <c r="B11" s="31">
        <v>10000006</v>
      </c>
      <c r="C11" s="31" t="s">
        <v>155</v>
      </c>
      <c r="D11" s="31">
        <v>6</v>
      </c>
      <c r="E11" s="31">
        <v>10</v>
      </c>
      <c r="F11" s="33" t="s">
        <v>156</v>
      </c>
    </row>
    <row r="12" spans="1:6" x14ac:dyDescent="0.2">
      <c r="B12" s="31">
        <v>10000007</v>
      </c>
      <c r="C12" s="31" t="s">
        <v>157</v>
      </c>
      <c r="D12" s="31">
        <v>7</v>
      </c>
      <c r="E12" s="31">
        <v>10</v>
      </c>
      <c r="F12" s="33" t="s">
        <v>158</v>
      </c>
    </row>
    <row r="13" spans="1:6" x14ac:dyDescent="0.2">
      <c r="B13" s="31">
        <v>10000008</v>
      </c>
      <c r="C13" s="31" t="s">
        <v>159</v>
      </c>
      <c r="D13" s="31">
        <v>8</v>
      </c>
      <c r="E13" s="31">
        <v>10</v>
      </c>
      <c r="F13" s="33" t="s">
        <v>160</v>
      </c>
    </row>
    <row r="14" spans="1:6" x14ac:dyDescent="0.2">
      <c r="B14" s="31">
        <v>10000009</v>
      </c>
      <c r="C14" s="31" t="s">
        <v>161</v>
      </c>
      <c r="D14" s="31">
        <v>9</v>
      </c>
      <c r="E14" s="31">
        <v>10</v>
      </c>
      <c r="F14" s="33" t="s">
        <v>160</v>
      </c>
    </row>
    <row r="15" spans="1:6" x14ac:dyDescent="0.2">
      <c r="B15" s="31">
        <v>10000010</v>
      </c>
      <c r="C15" s="31" t="s">
        <v>162</v>
      </c>
      <c r="D15" s="31">
        <v>10</v>
      </c>
      <c r="E15" s="31">
        <v>10</v>
      </c>
      <c r="F15" s="33" t="s">
        <v>163</v>
      </c>
    </row>
    <row r="16" spans="1:6" x14ac:dyDescent="0.2">
      <c r="B16" s="31">
        <v>10000011</v>
      </c>
      <c r="C16" s="31" t="s">
        <v>164</v>
      </c>
      <c r="D16" s="31">
        <v>10</v>
      </c>
      <c r="E16" s="31">
        <v>10</v>
      </c>
      <c r="F16" s="33" t="s">
        <v>165</v>
      </c>
    </row>
  </sheetData>
  <phoneticPr fontId="12" type="noConversion"/>
  <pageMargins left="0.7" right="0.7" top="0.75" bottom="0.75" header="0.3" footer="0.3"/>
  <pageSetup paperSize="9" orientation="portrait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F22"/>
  <sheetViews>
    <sheetView tabSelected="1" topLeftCell="A13" workbookViewId="0">
      <selection activeCell="F22" sqref="F22"/>
    </sheetView>
  </sheetViews>
  <sheetFormatPr defaultColWidth="9" defaultRowHeight="14.25" x14ac:dyDescent="0.2"/>
  <cols>
    <col min="1" max="2" width="9" style="1"/>
    <col min="3" max="3" width="14.75" style="1" customWidth="1"/>
    <col min="4" max="5" width="9" style="1"/>
    <col min="6" max="6" width="44.375" style="1" customWidth="1"/>
    <col min="7" max="16384" width="9" style="1"/>
  </cols>
  <sheetData>
    <row r="1" spans="1:6" x14ac:dyDescent="0.2">
      <c r="A1" s="2" t="s">
        <v>0</v>
      </c>
      <c r="B1" s="3" t="s">
        <v>1</v>
      </c>
      <c r="C1" s="3" t="s">
        <v>66</v>
      </c>
      <c r="D1" s="3" t="s">
        <v>52</v>
      </c>
      <c r="E1" s="3" t="s">
        <v>166</v>
      </c>
      <c r="F1" s="3" t="s">
        <v>167</v>
      </c>
    </row>
    <row r="2" spans="1:6" x14ac:dyDescent="0.2">
      <c r="A2" s="2" t="s">
        <v>0</v>
      </c>
      <c r="B2" s="2"/>
      <c r="C2" s="2"/>
      <c r="D2" s="2"/>
      <c r="E2" s="2"/>
      <c r="F2" s="2"/>
    </row>
    <row r="3" spans="1:6" x14ac:dyDescent="0.2">
      <c r="A3" s="5" t="s">
        <v>6</v>
      </c>
      <c r="B3" s="3" t="s">
        <v>7</v>
      </c>
      <c r="C3" s="3" t="s">
        <v>8</v>
      </c>
      <c r="D3" s="3" t="s">
        <v>7</v>
      </c>
      <c r="E3" s="3" t="s">
        <v>7</v>
      </c>
      <c r="F3" s="3" t="s">
        <v>8</v>
      </c>
    </row>
    <row r="4" spans="1:6" x14ac:dyDescent="0.2">
      <c r="A4" s="5" t="s">
        <v>9</v>
      </c>
      <c r="B4" s="5"/>
      <c r="C4" s="5"/>
      <c r="D4" s="5"/>
      <c r="E4" s="5"/>
      <c r="F4" s="5" t="s">
        <v>57</v>
      </c>
    </row>
    <row r="5" spans="1:6" x14ac:dyDescent="0.2">
      <c r="A5" s="2" t="s">
        <v>10</v>
      </c>
      <c r="B5" s="3" t="s">
        <v>168</v>
      </c>
      <c r="C5" s="3" t="s">
        <v>169</v>
      </c>
      <c r="D5" s="3" t="s">
        <v>170</v>
      </c>
      <c r="E5" s="3" t="s">
        <v>171</v>
      </c>
      <c r="F5" s="3" t="s">
        <v>172</v>
      </c>
    </row>
    <row r="6" spans="1:6" x14ac:dyDescent="0.2">
      <c r="B6" s="11">
        <v>10000</v>
      </c>
      <c r="C6" s="11" t="s">
        <v>173</v>
      </c>
      <c r="D6" s="11">
        <v>100</v>
      </c>
      <c r="E6" s="11">
        <v>2</v>
      </c>
      <c r="F6" s="11" t="s">
        <v>174</v>
      </c>
    </row>
    <row r="7" spans="1:6" x14ac:dyDescent="0.2">
      <c r="B7" s="11">
        <v>10001</v>
      </c>
      <c r="C7" s="11" t="s">
        <v>175</v>
      </c>
      <c r="D7" s="11">
        <v>101</v>
      </c>
      <c r="E7" s="11">
        <v>0</v>
      </c>
      <c r="F7" s="11" t="s">
        <v>176</v>
      </c>
    </row>
    <row r="8" spans="1:6" x14ac:dyDescent="0.2">
      <c r="B8" s="11">
        <v>10002</v>
      </c>
      <c r="C8" s="11" t="s">
        <v>177</v>
      </c>
      <c r="D8" s="11">
        <v>102</v>
      </c>
      <c r="E8" s="11">
        <v>2</v>
      </c>
      <c r="F8" s="11" t="s">
        <v>178</v>
      </c>
    </row>
    <row r="9" spans="1:6" x14ac:dyDescent="0.2">
      <c r="B9" s="11">
        <v>10003</v>
      </c>
      <c r="C9" s="11" t="s">
        <v>179</v>
      </c>
      <c r="D9" s="11">
        <v>103</v>
      </c>
      <c r="E9" s="11">
        <v>2</v>
      </c>
      <c r="F9" s="11" t="s">
        <v>180</v>
      </c>
    </row>
    <row r="10" spans="1:6" x14ac:dyDescent="0.2">
      <c r="B10" s="11">
        <v>10004</v>
      </c>
      <c r="C10" s="11" t="s">
        <v>181</v>
      </c>
      <c r="D10" s="11">
        <v>104</v>
      </c>
      <c r="E10" s="11">
        <v>0</v>
      </c>
      <c r="F10" s="11" t="s">
        <v>176</v>
      </c>
    </row>
    <row r="11" spans="1:6" x14ac:dyDescent="0.2">
      <c r="B11" s="11">
        <v>10005</v>
      </c>
      <c r="C11" s="11" t="s">
        <v>182</v>
      </c>
      <c r="D11" s="11">
        <v>105</v>
      </c>
      <c r="E11" s="11">
        <v>2</v>
      </c>
      <c r="F11" s="11" t="s">
        <v>183</v>
      </c>
    </row>
    <row r="12" spans="1:6" x14ac:dyDescent="0.2">
      <c r="B12" s="11">
        <v>10006</v>
      </c>
      <c r="C12" s="11" t="s">
        <v>184</v>
      </c>
      <c r="D12" s="11">
        <v>106</v>
      </c>
      <c r="E12" s="11">
        <v>2</v>
      </c>
      <c r="F12" s="11" t="s">
        <v>185</v>
      </c>
    </row>
    <row r="13" spans="1:6" x14ac:dyDescent="0.2">
      <c r="B13" s="11">
        <v>10007</v>
      </c>
      <c r="C13" s="11" t="s">
        <v>186</v>
      </c>
      <c r="D13" s="11">
        <v>107</v>
      </c>
      <c r="E13" s="11">
        <v>2</v>
      </c>
      <c r="F13" s="11" t="s">
        <v>187</v>
      </c>
    </row>
    <row r="14" spans="1:6" x14ac:dyDescent="0.2">
      <c r="B14" s="11">
        <v>2001</v>
      </c>
      <c r="C14" s="11" t="s">
        <v>188</v>
      </c>
      <c r="D14" s="11">
        <v>2</v>
      </c>
      <c r="E14" s="11">
        <v>2</v>
      </c>
      <c r="F14" s="11" t="s">
        <v>189</v>
      </c>
    </row>
    <row r="15" spans="1:6" x14ac:dyDescent="0.2">
      <c r="B15" s="11">
        <v>2007</v>
      </c>
      <c r="C15" s="11" t="s">
        <v>190</v>
      </c>
      <c r="D15" s="11">
        <v>4</v>
      </c>
      <c r="E15" s="11">
        <v>3</v>
      </c>
      <c r="F15" s="11" t="s">
        <v>191</v>
      </c>
    </row>
    <row r="16" spans="1:6" x14ac:dyDescent="0.2">
      <c r="B16" s="1">
        <v>7001</v>
      </c>
      <c r="C16" s="1" t="s">
        <v>192</v>
      </c>
      <c r="D16" s="1">
        <v>10</v>
      </c>
      <c r="E16" s="1">
        <v>2</v>
      </c>
      <c r="F16" s="1" t="s">
        <v>193</v>
      </c>
    </row>
    <row r="17" spans="2:6" x14ac:dyDescent="0.2">
      <c r="B17" s="1">
        <v>7002</v>
      </c>
      <c r="C17" s="1" t="s">
        <v>194</v>
      </c>
      <c r="D17" s="1">
        <v>10</v>
      </c>
      <c r="E17" s="1">
        <v>0</v>
      </c>
      <c r="F17" s="1" t="s">
        <v>195</v>
      </c>
    </row>
    <row r="18" spans="2:6" x14ac:dyDescent="0.2">
      <c r="B18" s="1">
        <v>3001</v>
      </c>
      <c r="C18" s="1" t="s">
        <v>196</v>
      </c>
      <c r="D18" s="1">
        <v>4</v>
      </c>
      <c r="E18" s="1">
        <v>2</v>
      </c>
      <c r="F18" s="1" t="s">
        <v>197</v>
      </c>
    </row>
    <row r="19" spans="2:6" ht="28.5" x14ac:dyDescent="0.2">
      <c r="B19" s="11">
        <v>991</v>
      </c>
      <c r="C19" s="1" t="s">
        <v>198</v>
      </c>
      <c r="D19" s="1">
        <v>4</v>
      </c>
      <c r="E19" s="1">
        <v>3</v>
      </c>
      <c r="F19" s="66" t="s">
        <v>199</v>
      </c>
    </row>
    <row r="20" spans="2:6" ht="28.5" x14ac:dyDescent="0.2">
      <c r="B20" s="11">
        <v>992</v>
      </c>
      <c r="C20" s="84" t="s">
        <v>1250</v>
      </c>
      <c r="D20" s="1">
        <v>4</v>
      </c>
      <c r="E20" s="1">
        <v>3</v>
      </c>
      <c r="F20" s="85" t="s">
        <v>1252</v>
      </c>
    </row>
    <row r="21" spans="2:6" ht="28.5" x14ac:dyDescent="0.2">
      <c r="B21" s="11">
        <v>993</v>
      </c>
      <c r="C21" s="1" t="s">
        <v>200</v>
      </c>
      <c r="D21" s="1">
        <v>4</v>
      </c>
      <c r="E21" s="1">
        <v>3</v>
      </c>
      <c r="F21" s="85" t="s">
        <v>1251</v>
      </c>
    </row>
    <row r="22" spans="2:6" x14ac:dyDescent="0.2">
      <c r="B22" s="1">
        <v>101</v>
      </c>
      <c r="C22" s="1" t="s">
        <v>201</v>
      </c>
      <c r="D22" s="1">
        <v>4</v>
      </c>
      <c r="E22" s="1">
        <v>3</v>
      </c>
      <c r="F22" s="1" t="s">
        <v>202</v>
      </c>
    </row>
  </sheetData>
  <phoneticPr fontId="12" type="noConversion"/>
  <pageMargins left="0.7" right="0.7" top="0.75" bottom="0.75" header="0.3" footer="0.3"/>
  <pageSetup paperSize="9" orientation="portrait" r:id="rId1"/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H19"/>
  <sheetViews>
    <sheetView workbookViewId="0">
      <selection activeCell="B6" sqref="B6"/>
    </sheetView>
  </sheetViews>
  <sheetFormatPr defaultColWidth="9" defaultRowHeight="14.25" x14ac:dyDescent="0.2"/>
  <cols>
    <col min="1" max="16" width="9" style="61"/>
    <col min="17" max="17" width="12.625" style="61"/>
    <col min="18" max="16384" width="9" style="61"/>
  </cols>
  <sheetData>
    <row r="1" spans="1:8" x14ac:dyDescent="0.2">
      <c r="A1" s="62" t="s">
        <v>0</v>
      </c>
      <c r="B1" s="63" t="s">
        <v>1</v>
      </c>
      <c r="C1" s="63" t="s">
        <v>66</v>
      </c>
      <c r="D1" s="63" t="s">
        <v>52</v>
      </c>
      <c r="E1" s="63" t="s">
        <v>203</v>
      </c>
      <c r="F1" s="63" t="s">
        <v>204</v>
      </c>
      <c r="G1" s="63" t="s">
        <v>205</v>
      </c>
      <c r="H1" s="63" t="s">
        <v>127</v>
      </c>
    </row>
    <row r="2" spans="1:8" x14ac:dyDescent="0.2">
      <c r="A2" s="62" t="s">
        <v>0</v>
      </c>
      <c r="B2" s="62"/>
      <c r="C2" s="62"/>
      <c r="D2" s="62"/>
      <c r="E2" s="62"/>
      <c r="F2" s="62"/>
      <c r="G2" s="62"/>
      <c r="H2" s="62"/>
    </row>
    <row r="3" spans="1:8" x14ac:dyDescent="0.2">
      <c r="A3" s="64" t="s">
        <v>6</v>
      </c>
      <c r="B3" s="63" t="s">
        <v>7</v>
      </c>
      <c r="C3" s="63" t="s">
        <v>8</v>
      </c>
      <c r="D3" s="63" t="s">
        <v>7</v>
      </c>
      <c r="E3" s="63" t="s">
        <v>7</v>
      </c>
      <c r="F3" s="63" t="s">
        <v>7</v>
      </c>
      <c r="G3" s="63" t="s">
        <v>7</v>
      </c>
      <c r="H3" s="63" t="s">
        <v>7</v>
      </c>
    </row>
    <row r="4" spans="1:8" x14ac:dyDescent="0.2">
      <c r="A4" s="64" t="s">
        <v>9</v>
      </c>
      <c r="B4" s="64"/>
      <c r="C4" s="64"/>
      <c r="D4" s="64"/>
      <c r="E4" s="64"/>
      <c r="F4" s="64" t="s">
        <v>57</v>
      </c>
      <c r="G4" s="64"/>
      <c r="H4" s="64"/>
    </row>
    <row r="5" spans="1:8" x14ac:dyDescent="0.2">
      <c r="A5" s="62" t="s">
        <v>10</v>
      </c>
      <c r="B5" s="63" t="s">
        <v>48</v>
      </c>
      <c r="C5" s="63" t="s">
        <v>206</v>
      </c>
      <c r="D5" s="63" t="s">
        <v>207</v>
      </c>
      <c r="E5" s="63" t="s">
        <v>208</v>
      </c>
      <c r="F5" s="63" t="s">
        <v>209</v>
      </c>
      <c r="G5" s="63" t="s">
        <v>210</v>
      </c>
      <c r="H5" s="63" t="s">
        <v>211</v>
      </c>
    </row>
    <row r="6" spans="1:8" x14ac:dyDescent="0.2">
      <c r="B6" s="63">
        <v>301</v>
      </c>
      <c r="C6" s="63" t="s">
        <v>212</v>
      </c>
      <c r="D6" s="63">
        <v>3</v>
      </c>
      <c r="E6" s="63">
        <v>1</v>
      </c>
      <c r="F6" s="63">
        <v>15</v>
      </c>
      <c r="G6" s="63">
        <v>1</v>
      </c>
      <c r="H6" s="63">
        <v>2000</v>
      </c>
    </row>
    <row r="7" spans="1:8" x14ac:dyDescent="0.2">
      <c r="B7" s="63">
        <v>302</v>
      </c>
      <c r="C7" s="63" t="s">
        <v>213</v>
      </c>
      <c r="D7" s="63">
        <v>3</v>
      </c>
      <c r="E7" s="63">
        <v>2</v>
      </c>
      <c r="F7" s="63">
        <v>15</v>
      </c>
      <c r="G7" s="63">
        <v>1</v>
      </c>
      <c r="H7" s="63">
        <v>2000</v>
      </c>
    </row>
    <row r="8" spans="1:8" x14ac:dyDescent="0.2">
      <c r="B8" s="63">
        <v>303</v>
      </c>
      <c r="C8" s="63" t="s">
        <v>214</v>
      </c>
      <c r="D8" s="63">
        <v>3</v>
      </c>
      <c r="E8" s="63">
        <v>3</v>
      </c>
      <c r="F8" s="63">
        <v>15</v>
      </c>
      <c r="G8" s="63">
        <v>1</v>
      </c>
      <c r="H8" s="63">
        <v>2000</v>
      </c>
    </row>
    <row r="9" spans="1:8" x14ac:dyDescent="0.2">
      <c r="B9" s="63">
        <v>304</v>
      </c>
      <c r="C9" s="63" t="s">
        <v>215</v>
      </c>
      <c r="D9" s="63">
        <v>3</v>
      </c>
      <c r="E9" s="63">
        <v>4</v>
      </c>
      <c r="F9" s="63">
        <v>15</v>
      </c>
      <c r="G9" s="63">
        <v>1</v>
      </c>
      <c r="H9" s="63">
        <v>2000</v>
      </c>
    </row>
    <row r="10" spans="1:8" x14ac:dyDescent="0.2">
      <c r="B10" s="63">
        <v>305</v>
      </c>
      <c r="C10" s="63" t="s">
        <v>216</v>
      </c>
      <c r="D10" s="63">
        <v>3</v>
      </c>
      <c r="E10" s="63">
        <v>1</v>
      </c>
      <c r="F10" s="63">
        <v>15</v>
      </c>
      <c r="G10" s="63">
        <v>1</v>
      </c>
      <c r="H10" s="63">
        <v>2000</v>
      </c>
    </row>
    <row r="11" spans="1:8" x14ac:dyDescent="0.2">
      <c r="B11" s="63">
        <v>306</v>
      </c>
      <c r="C11" s="63" t="s">
        <v>217</v>
      </c>
      <c r="D11" s="63">
        <v>3</v>
      </c>
      <c r="E11" s="63">
        <v>2</v>
      </c>
      <c r="F11" s="63">
        <v>15</v>
      </c>
      <c r="G11" s="63">
        <v>1</v>
      </c>
      <c r="H11" s="63">
        <v>2000</v>
      </c>
    </row>
    <row r="12" spans="1:8" x14ac:dyDescent="0.2">
      <c r="B12" s="63">
        <v>307</v>
      </c>
      <c r="C12" s="63" t="s">
        <v>218</v>
      </c>
      <c r="D12" s="63">
        <v>3</v>
      </c>
      <c r="E12" s="63">
        <v>3</v>
      </c>
      <c r="F12" s="63">
        <v>15</v>
      </c>
      <c r="G12" s="63">
        <v>1</v>
      </c>
      <c r="H12" s="63">
        <v>2000</v>
      </c>
    </row>
    <row r="13" spans="1:8" x14ac:dyDescent="0.2">
      <c r="B13" s="63">
        <v>308</v>
      </c>
      <c r="C13" s="63" t="s">
        <v>219</v>
      </c>
      <c r="D13" s="63">
        <v>3</v>
      </c>
      <c r="E13" s="63">
        <v>4</v>
      </c>
      <c r="F13" s="63">
        <v>15</v>
      </c>
      <c r="G13" s="63">
        <v>1</v>
      </c>
      <c r="H13" s="63">
        <v>2000</v>
      </c>
    </row>
    <row r="14" spans="1:8" x14ac:dyDescent="0.2">
      <c r="B14" s="63">
        <v>401</v>
      </c>
      <c r="C14" s="63" t="s">
        <v>220</v>
      </c>
      <c r="D14" s="63">
        <v>4</v>
      </c>
      <c r="E14" s="63">
        <v>1</v>
      </c>
      <c r="F14" s="63">
        <v>20</v>
      </c>
      <c r="G14" s="63">
        <v>3</v>
      </c>
      <c r="H14" s="63">
        <v>4000</v>
      </c>
    </row>
    <row r="15" spans="1:8" x14ac:dyDescent="0.2">
      <c r="B15" s="63">
        <v>402</v>
      </c>
      <c r="C15" s="63" t="s">
        <v>221</v>
      </c>
      <c r="D15" s="63">
        <v>4</v>
      </c>
      <c r="E15" s="63">
        <v>2</v>
      </c>
      <c r="F15" s="63">
        <v>20</v>
      </c>
      <c r="G15" s="63">
        <v>3</v>
      </c>
      <c r="H15" s="63">
        <v>4000</v>
      </c>
    </row>
    <row r="16" spans="1:8" x14ac:dyDescent="0.2">
      <c r="B16" s="63">
        <v>403</v>
      </c>
      <c r="C16" s="63" t="s">
        <v>222</v>
      </c>
      <c r="D16" s="63">
        <v>4</v>
      </c>
      <c r="E16" s="63">
        <v>3</v>
      </c>
      <c r="F16" s="63">
        <v>20</v>
      </c>
      <c r="G16" s="63">
        <v>3</v>
      </c>
      <c r="H16" s="63">
        <v>4000</v>
      </c>
    </row>
    <row r="17" spans="2:8" x14ac:dyDescent="0.2">
      <c r="B17" s="63">
        <v>404</v>
      </c>
      <c r="C17" s="63" t="s">
        <v>223</v>
      </c>
      <c r="D17" s="63">
        <v>4</v>
      </c>
      <c r="E17" s="63">
        <v>4</v>
      </c>
      <c r="F17" s="63">
        <v>20</v>
      </c>
      <c r="G17" s="63">
        <v>3</v>
      </c>
      <c r="H17" s="63">
        <v>4000</v>
      </c>
    </row>
    <row r="18" spans="2:8" x14ac:dyDescent="0.2">
      <c r="B18" s="63">
        <v>501</v>
      </c>
      <c r="C18" s="65" t="s">
        <v>224</v>
      </c>
      <c r="D18" s="65">
        <v>5</v>
      </c>
      <c r="E18" s="65">
        <v>1</v>
      </c>
      <c r="F18" s="65">
        <v>40</v>
      </c>
      <c r="G18" s="65">
        <v>4</v>
      </c>
      <c r="H18" s="63">
        <v>4000</v>
      </c>
    </row>
    <row r="19" spans="2:8" x14ac:dyDescent="0.2">
      <c r="B19" s="65"/>
      <c r="C19" s="65"/>
      <c r="D19" s="65"/>
      <c r="E19" s="65"/>
      <c r="F19" s="65"/>
      <c r="G19" s="65"/>
      <c r="H19" s="65"/>
    </row>
  </sheetData>
  <phoneticPr fontId="12" type="noConversion"/>
  <pageMargins left="0.7" right="0.7" top="0.75" bottom="0.75" header="0.3" footer="0.3"/>
  <pageSetup paperSize="9" orientation="portrait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D16"/>
  <sheetViews>
    <sheetView workbookViewId="0">
      <selection activeCell="H39" sqref="H39"/>
    </sheetView>
  </sheetViews>
  <sheetFormatPr defaultColWidth="9" defaultRowHeight="14.25" x14ac:dyDescent="0.2"/>
  <cols>
    <col min="1" max="2" width="9" style="57"/>
    <col min="3" max="3" width="26.75" style="57" customWidth="1"/>
    <col min="4" max="4" width="19.625" style="57" customWidth="1"/>
    <col min="5" max="16384" width="9" style="57"/>
  </cols>
  <sheetData>
    <row r="1" spans="1:4" x14ac:dyDescent="0.2">
      <c r="A1" s="58" t="s">
        <v>0</v>
      </c>
      <c r="B1" s="31" t="s">
        <v>1</v>
      </c>
      <c r="C1" s="31" t="s">
        <v>3</v>
      </c>
      <c r="D1" s="31" t="s">
        <v>39</v>
      </c>
    </row>
    <row r="2" spans="1:4" x14ac:dyDescent="0.2">
      <c r="A2" s="58" t="s">
        <v>0</v>
      </c>
      <c r="B2" s="58"/>
      <c r="C2" s="58"/>
      <c r="D2" s="58"/>
    </row>
    <row r="3" spans="1:4" x14ac:dyDescent="0.2">
      <c r="A3" s="59" t="s">
        <v>6</v>
      </c>
      <c r="B3" s="59" t="s">
        <v>7</v>
      </c>
      <c r="C3" s="59" t="s">
        <v>225</v>
      </c>
      <c r="D3" s="59" t="s">
        <v>7</v>
      </c>
    </row>
    <row r="4" spans="1:4" x14ac:dyDescent="0.2">
      <c r="A4" s="59" t="s">
        <v>9</v>
      </c>
      <c r="B4" s="59"/>
      <c r="C4" s="59"/>
      <c r="D4" s="59"/>
    </row>
    <row r="5" spans="1:4" x14ac:dyDescent="0.2">
      <c r="A5" s="58" t="s">
        <v>10</v>
      </c>
      <c r="B5" s="31" t="s">
        <v>226</v>
      </c>
      <c r="C5" s="31" t="s">
        <v>144</v>
      </c>
      <c r="D5" s="31" t="s">
        <v>227</v>
      </c>
    </row>
    <row r="6" spans="1:4" x14ac:dyDescent="0.2">
      <c r="B6" s="31">
        <v>1001</v>
      </c>
      <c r="C6" s="33" t="s">
        <v>228</v>
      </c>
      <c r="D6" s="31">
        <v>1</v>
      </c>
    </row>
    <row r="7" spans="1:4" x14ac:dyDescent="0.2">
      <c r="B7" s="31">
        <v>1002</v>
      </c>
      <c r="C7" s="33" t="s">
        <v>229</v>
      </c>
      <c r="D7" s="31">
        <v>2</v>
      </c>
    </row>
    <row r="8" spans="1:4" x14ac:dyDescent="0.2">
      <c r="B8" s="31">
        <v>1003</v>
      </c>
      <c r="C8" s="33" t="s">
        <v>230</v>
      </c>
      <c r="D8" s="31">
        <v>3</v>
      </c>
    </row>
    <row r="9" spans="1:4" x14ac:dyDescent="0.2">
      <c r="B9" s="31">
        <v>1004</v>
      </c>
      <c r="C9" s="33" t="s">
        <v>231</v>
      </c>
      <c r="D9" s="31">
        <v>4</v>
      </c>
    </row>
    <row r="10" spans="1:4" x14ac:dyDescent="0.2">
      <c r="B10" s="31">
        <v>1005</v>
      </c>
      <c r="C10" s="33" t="s">
        <v>232</v>
      </c>
      <c r="D10" s="31">
        <v>5</v>
      </c>
    </row>
    <row r="11" spans="1:4" x14ac:dyDescent="0.2">
      <c r="B11" s="31">
        <v>1006</v>
      </c>
      <c r="C11" s="33" t="s">
        <v>233</v>
      </c>
      <c r="D11" s="31">
        <v>0</v>
      </c>
    </row>
    <row r="12" spans="1:4" x14ac:dyDescent="0.2">
      <c r="B12" s="31">
        <v>1007</v>
      </c>
      <c r="C12" s="33" t="s">
        <v>234</v>
      </c>
      <c r="D12" s="31">
        <v>0</v>
      </c>
    </row>
    <row r="13" spans="1:4" x14ac:dyDescent="0.2">
      <c r="B13" s="31">
        <v>1008</v>
      </c>
      <c r="C13" s="33" t="s">
        <v>235</v>
      </c>
      <c r="D13" s="31">
        <v>0</v>
      </c>
    </row>
    <row r="14" spans="1:4" x14ac:dyDescent="0.2">
      <c r="B14" s="31">
        <v>1009</v>
      </c>
      <c r="C14" s="33" t="s">
        <v>235</v>
      </c>
      <c r="D14" s="31">
        <v>0</v>
      </c>
    </row>
    <row r="15" spans="1:4" x14ac:dyDescent="0.2">
      <c r="B15" s="31">
        <v>1010</v>
      </c>
      <c r="C15" s="33" t="s">
        <v>236</v>
      </c>
      <c r="D15" s="31">
        <v>0</v>
      </c>
    </row>
    <row r="16" spans="1:4" x14ac:dyDescent="0.2">
      <c r="B16" s="31">
        <v>1011</v>
      </c>
      <c r="C16" s="33" t="s">
        <v>237</v>
      </c>
      <c r="D16" s="31">
        <v>0</v>
      </c>
    </row>
  </sheetData>
  <phoneticPr fontId="12" type="noConversion"/>
  <conditionalFormatting sqref="A1:D5">
    <cfRule type="duplicateValues" dxfId="5" priority="1"/>
  </conditionalFormatting>
  <pageMargins left="0.7" right="0.7" top="0.75" bottom="0.75" header="0.3" footer="0.3"/>
  <pageSetup paperSize="9" orientation="portrait"/>
  <legacy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E34"/>
  <sheetViews>
    <sheetView workbookViewId="0">
      <selection activeCell="B28" sqref="B28:C28"/>
    </sheetView>
  </sheetViews>
  <sheetFormatPr defaultColWidth="9" defaultRowHeight="14.25" x14ac:dyDescent="0.2"/>
  <cols>
    <col min="1" max="16384" width="9" style="1"/>
  </cols>
  <sheetData>
    <row r="1" spans="1:5" x14ac:dyDescent="0.2">
      <c r="A1" s="2" t="s">
        <v>0</v>
      </c>
      <c r="B1" s="3" t="s">
        <v>1</v>
      </c>
      <c r="C1" s="3" t="s">
        <v>127</v>
      </c>
      <c r="D1" s="3" t="s">
        <v>75</v>
      </c>
      <c r="E1" s="3" t="s">
        <v>74</v>
      </c>
    </row>
    <row r="2" spans="1:5" x14ac:dyDescent="0.2">
      <c r="A2" s="2" t="s">
        <v>0</v>
      </c>
      <c r="B2" s="2"/>
      <c r="C2" s="2"/>
      <c r="D2" s="2"/>
      <c r="E2" s="2"/>
    </row>
    <row r="3" spans="1:5" x14ac:dyDescent="0.2">
      <c r="A3" s="5" t="s">
        <v>6</v>
      </c>
      <c r="B3" s="5" t="s">
        <v>7</v>
      </c>
      <c r="C3" s="5" t="s">
        <v>7</v>
      </c>
      <c r="D3" s="5" t="s">
        <v>7</v>
      </c>
      <c r="E3" s="5" t="s">
        <v>7</v>
      </c>
    </row>
    <row r="4" spans="1:5" x14ac:dyDescent="0.2">
      <c r="A4" s="5" t="s">
        <v>9</v>
      </c>
      <c r="B4" s="5"/>
      <c r="C4" s="5" t="s">
        <v>139</v>
      </c>
      <c r="D4" s="5" t="s">
        <v>139</v>
      </c>
      <c r="E4" s="5" t="s">
        <v>139</v>
      </c>
    </row>
    <row r="5" spans="1:5" x14ac:dyDescent="0.2">
      <c r="A5" s="2" t="s">
        <v>10</v>
      </c>
      <c r="B5" s="18" t="s">
        <v>48</v>
      </c>
      <c r="C5" s="18" t="s">
        <v>238</v>
      </c>
      <c r="D5" s="18" t="s">
        <v>239</v>
      </c>
      <c r="E5" s="18" t="s">
        <v>240</v>
      </c>
    </row>
    <row r="6" spans="1:5" x14ac:dyDescent="0.2">
      <c r="B6" s="11">
        <v>1000</v>
      </c>
      <c r="C6" s="11">
        <v>2</v>
      </c>
      <c r="D6" s="11">
        <v>10000</v>
      </c>
      <c r="E6" s="11">
        <v>10000</v>
      </c>
    </row>
    <row r="7" spans="1:5" x14ac:dyDescent="0.2">
      <c r="B7" s="11">
        <v>1001</v>
      </c>
      <c r="C7" s="11">
        <v>3</v>
      </c>
      <c r="D7" s="11">
        <v>10000</v>
      </c>
      <c r="E7" s="11">
        <v>10000</v>
      </c>
    </row>
    <row r="8" spans="1:5" x14ac:dyDescent="0.2">
      <c r="B8" s="11">
        <v>1002</v>
      </c>
      <c r="C8" s="11">
        <v>4</v>
      </c>
      <c r="D8" s="11">
        <v>10000</v>
      </c>
      <c r="E8" s="11">
        <v>10000</v>
      </c>
    </row>
    <row r="9" spans="1:5" x14ac:dyDescent="0.2">
      <c r="B9" s="11">
        <v>1003</v>
      </c>
      <c r="C9" s="11">
        <v>5</v>
      </c>
      <c r="D9" s="11">
        <v>10000</v>
      </c>
      <c r="E9" s="11">
        <v>10000</v>
      </c>
    </row>
    <row r="10" spans="1:5" x14ac:dyDescent="0.2">
      <c r="B10" s="11">
        <v>1004</v>
      </c>
      <c r="C10" s="11">
        <v>6</v>
      </c>
      <c r="D10" s="11">
        <v>10000</v>
      </c>
      <c r="E10" s="11">
        <v>10000</v>
      </c>
    </row>
    <row r="11" spans="1:5" x14ac:dyDescent="0.2">
      <c r="B11" s="11">
        <v>1005</v>
      </c>
      <c r="C11" s="11">
        <v>7</v>
      </c>
      <c r="D11" s="11">
        <v>10000</v>
      </c>
      <c r="E11" s="11">
        <v>10000</v>
      </c>
    </row>
    <row r="12" spans="1:5" x14ac:dyDescent="0.2">
      <c r="B12" s="11">
        <v>1006</v>
      </c>
      <c r="C12" s="11">
        <v>8</v>
      </c>
      <c r="D12" s="11">
        <v>10000</v>
      </c>
      <c r="E12" s="11">
        <v>10000</v>
      </c>
    </row>
    <row r="13" spans="1:5" x14ac:dyDescent="0.2">
      <c r="B13" s="11">
        <v>1007</v>
      </c>
      <c r="C13" s="11">
        <v>9</v>
      </c>
      <c r="D13" s="11">
        <v>10000</v>
      </c>
      <c r="E13" s="11">
        <v>10000</v>
      </c>
    </row>
    <row r="14" spans="1:5" x14ac:dyDescent="0.2">
      <c r="B14" s="11">
        <v>1008</v>
      </c>
      <c r="C14" s="11">
        <v>10</v>
      </c>
      <c r="D14" s="11">
        <v>10000</v>
      </c>
      <c r="E14" s="11">
        <v>10000</v>
      </c>
    </row>
    <row r="15" spans="1:5" x14ac:dyDescent="0.2">
      <c r="B15" s="11">
        <v>1009</v>
      </c>
      <c r="C15" s="11">
        <v>12</v>
      </c>
      <c r="D15" s="11">
        <v>10000</v>
      </c>
      <c r="E15" s="11">
        <v>10000</v>
      </c>
    </row>
    <row r="16" spans="1:5" x14ac:dyDescent="0.2">
      <c r="B16" s="11">
        <v>1010</v>
      </c>
      <c r="C16" s="11">
        <v>15</v>
      </c>
      <c r="D16" s="11">
        <v>10000</v>
      </c>
      <c r="E16" s="11">
        <v>10000</v>
      </c>
    </row>
    <row r="17" spans="2:5" x14ac:dyDescent="0.2">
      <c r="B17" s="11">
        <v>1011</v>
      </c>
      <c r="C17" s="11">
        <v>18</v>
      </c>
      <c r="D17" s="11">
        <v>10000</v>
      </c>
      <c r="E17" s="11">
        <v>10000</v>
      </c>
    </row>
    <row r="18" spans="2:5" x14ac:dyDescent="0.2">
      <c r="B18" s="11">
        <v>1012</v>
      </c>
      <c r="C18" s="11">
        <v>20</v>
      </c>
      <c r="D18" s="11">
        <v>10000</v>
      </c>
      <c r="E18" s="11">
        <v>10000</v>
      </c>
    </row>
    <row r="19" spans="2:5" x14ac:dyDescent="0.2">
      <c r="B19" s="11">
        <v>1013</v>
      </c>
      <c r="C19" s="11">
        <v>25</v>
      </c>
      <c r="D19" s="11">
        <v>10000</v>
      </c>
      <c r="E19" s="11">
        <v>10000</v>
      </c>
    </row>
    <row r="20" spans="2:5" x14ac:dyDescent="0.2">
      <c r="B20" s="11">
        <v>1014</v>
      </c>
      <c r="C20" s="11">
        <v>20</v>
      </c>
      <c r="D20" s="11">
        <v>10000</v>
      </c>
      <c r="E20" s="11">
        <v>10000</v>
      </c>
    </row>
    <row r="21" spans="2:5" x14ac:dyDescent="0.2">
      <c r="B21" s="11">
        <v>1015</v>
      </c>
      <c r="C21" s="11">
        <v>25</v>
      </c>
      <c r="D21" s="11">
        <v>10000</v>
      </c>
      <c r="E21" s="11">
        <v>10000</v>
      </c>
    </row>
    <row r="22" spans="2:5" x14ac:dyDescent="0.2">
      <c r="B22" s="11">
        <v>1016</v>
      </c>
      <c r="C22" s="11">
        <v>30</v>
      </c>
      <c r="D22" s="11">
        <v>10000</v>
      </c>
      <c r="E22" s="11">
        <v>10000</v>
      </c>
    </row>
    <row r="23" spans="2:5" x14ac:dyDescent="0.2">
      <c r="B23" s="11">
        <v>1017</v>
      </c>
      <c r="C23" s="11">
        <v>60</v>
      </c>
      <c r="D23" s="11">
        <v>10000</v>
      </c>
      <c r="E23" s="11">
        <v>10000</v>
      </c>
    </row>
    <row r="24" spans="2:5" x14ac:dyDescent="0.2">
      <c r="B24" s="11">
        <v>1018</v>
      </c>
      <c r="C24" s="11">
        <v>80</v>
      </c>
      <c r="D24" s="11">
        <v>10000</v>
      </c>
      <c r="E24" s="11">
        <v>10000</v>
      </c>
    </row>
    <row r="25" spans="2:5" x14ac:dyDescent="0.2">
      <c r="B25" s="11">
        <v>1019</v>
      </c>
      <c r="C25" s="11">
        <v>100</v>
      </c>
      <c r="D25" s="11">
        <v>10000</v>
      </c>
      <c r="E25" s="11">
        <v>10000</v>
      </c>
    </row>
    <row r="26" spans="2:5" x14ac:dyDescent="0.2">
      <c r="B26" s="11">
        <v>1020</v>
      </c>
      <c r="C26" s="11">
        <v>20</v>
      </c>
      <c r="D26" s="11">
        <v>10000</v>
      </c>
      <c r="E26" s="11">
        <v>10000</v>
      </c>
    </row>
    <row r="27" spans="2:5" x14ac:dyDescent="0.2">
      <c r="B27" s="11">
        <v>1021</v>
      </c>
      <c r="C27" s="11">
        <v>20</v>
      </c>
      <c r="D27" s="11">
        <v>10000</v>
      </c>
      <c r="E27" s="11">
        <v>10000</v>
      </c>
    </row>
    <row r="28" spans="2:5" x14ac:dyDescent="0.2">
      <c r="B28" s="11">
        <v>1022</v>
      </c>
      <c r="C28" s="11">
        <v>50</v>
      </c>
      <c r="D28" s="11">
        <v>10000</v>
      </c>
      <c r="E28" s="11">
        <v>10000</v>
      </c>
    </row>
    <row r="29" spans="2:5" x14ac:dyDescent="0.2">
      <c r="B29" s="11">
        <v>1023</v>
      </c>
      <c r="C29" s="11">
        <v>100</v>
      </c>
      <c r="D29" s="11">
        <v>10000</v>
      </c>
      <c r="E29" s="11">
        <v>10000</v>
      </c>
    </row>
    <row r="30" spans="2:5" x14ac:dyDescent="0.2">
      <c r="B30" s="11">
        <v>1024</v>
      </c>
      <c r="C30" s="1">
        <v>200</v>
      </c>
      <c r="D30" s="11">
        <v>10000</v>
      </c>
      <c r="E30" s="11">
        <v>10000</v>
      </c>
    </row>
    <row r="31" spans="2:5" x14ac:dyDescent="0.2">
      <c r="B31" s="11">
        <v>1025</v>
      </c>
      <c r="C31" s="1">
        <v>300</v>
      </c>
      <c r="D31" s="11">
        <v>10000</v>
      </c>
      <c r="E31" s="11">
        <v>10000</v>
      </c>
    </row>
    <row r="32" spans="2:5" x14ac:dyDescent="0.2">
      <c r="B32" s="11">
        <v>1026</v>
      </c>
      <c r="C32" s="1">
        <v>400</v>
      </c>
      <c r="D32" s="11">
        <v>10000</v>
      </c>
      <c r="E32" s="11">
        <v>10000</v>
      </c>
    </row>
    <row r="33" spans="2:5" x14ac:dyDescent="0.2">
      <c r="B33" s="11">
        <v>1027</v>
      </c>
      <c r="C33" s="1">
        <v>500</v>
      </c>
      <c r="D33" s="11">
        <v>10000</v>
      </c>
      <c r="E33" s="11">
        <v>10000</v>
      </c>
    </row>
    <row r="34" spans="2:5" x14ac:dyDescent="0.2">
      <c r="B34" s="11">
        <v>1028</v>
      </c>
      <c r="C34" s="1">
        <v>1000</v>
      </c>
      <c r="D34" s="11">
        <v>10000</v>
      </c>
      <c r="E34" s="11">
        <v>10000</v>
      </c>
    </row>
  </sheetData>
  <phoneticPr fontId="12" type="noConversion"/>
  <pageMargins left="0.7" right="0.7" top="0.75" bottom="0.75" header="0.3" footer="0.3"/>
  <pageSetup paperSize="9" orientation="portrait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I106"/>
  <sheetViews>
    <sheetView workbookViewId="0">
      <selection activeCell="J15" sqref="J15"/>
    </sheetView>
  </sheetViews>
  <sheetFormatPr defaultColWidth="9" defaultRowHeight="14.25" x14ac:dyDescent="0.2"/>
  <cols>
    <col min="1" max="3" width="9" style="1"/>
    <col min="4" max="4" width="16" style="1" customWidth="1"/>
    <col min="5" max="5" width="13.625" style="1" customWidth="1"/>
    <col min="6" max="6" width="9" style="1"/>
    <col min="7" max="7" width="13.125" style="29" customWidth="1"/>
    <col min="8" max="8" width="18" style="1" customWidth="1"/>
    <col min="9" max="9" width="9" style="60"/>
    <col min="10" max="16384" width="9" style="1"/>
  </cols>
  <sheetData>
    <row r="1" spans="1:9" x14ac:dyDescent="0.2">
      <c r="A1" s="2" t="s">
        <v>0</v>
      </c>
      <c r="B1" s="3" t="s">
        <v>1</v>
      </c>
      <c r="C1" s="3" t="s">
        <v>39</v>
      </c>
      <c r="D1" s="3" t="s">
        <v>40</v>
      </c>
      <c r="E1" s="3" t="s">
        <v>241</v>
      </c>
      <c r="F1" s="3" t="s">
        <v>166</v>
      </c>
      <c r="G1" s="31" t="s">
        <v>242</v>
      </c>
      <c r="H1" s="3" t="s">
        <v>243</v>
      </c>
    </row>
    <row r="2" spans="1:9" x14ac:dyDescent="0.2">
      <c r="A2" s="2" t="s">
        <v>0</v>
      </c>
      <c r="B2" s="2"/>
      <c r="C2" s="2"/>
      <c r="D2" s="2"/>
      <c r="E2" s="2"/>
      <c r="F2" s="2"/>
      <c r="G2" s="30"/>
      <c r="H2" s="2"/>
    </row>
    <row r="3" spans="1:9" x14ac:dyDescent="0.2">
      <c r="A3" s="5" t="s">
        <v>6</v>
      </c>
      <c r="B3" s="5" t="s">
        <v>7</v>
      </c>
      <c r="C3" s="5" t="s">
        <v>7</v>
      </c>
      <c r="D3" s="5" t="s">
        <v>7</v>
      </c>
      <c r="E3" s="5" t="s">
        <v>7</v>
      </c>
      <c r="F3" s="5" t="s">
        <v>7</v>
      </c>
      <c r="G3" s="32" t="s">
        <v>7</v>
      </c>
      <c r="H3" s="5" t="s">
        <v>7</v>
      </c>
    </row>
    <row r="4" spans="1:9" x14ac:dyDescent="0.2">
      <c r="A4" s="5" t="s">
        <v>9</v>
      </c>
      <c r="B4" s="5"/>
      <c r="C4" s="5"/>
      <c r="D4" s="5"/>
      <c r="E4" s="5"/>
      <c r="F4" s="5"/>
      <c r="G4" s="32"/>
      <c r="H4" s="5"/>
    </row>
    <row r="5" spans="1:9" x14ac:dyDescent="0.2">
      <c r="A5" s="2" t="s">
        <v>10</v>
      </c>
      <c r="B5" s="3" t="s">
        <v>41</v>
      </c>
      <c r="C5" s="3" t="s">
        <v>244</v>
      </c>
      <c r="D5" s="3" t="s">
        <v>245</v>
      </c>
      <c r="E5" s="3" t="s">
        <v>246</v>
      </c>
      <c r="F5" s="3" t="s">
        <v>207</v>
      </c>
      <c r="G5" s="31" t="s">
        <v>247</v>
      </c>
      <c r="H5" s="3" t="s">
        <v>248</v>
      </c>
    </row>
    <row r="6" spans="1:9" x14ac:dyDescent="0.2">
      <c r="B6" s="11">
        <v>10000</v>
      </c>
      <c r="C6" s="11">
        <v>1</v>
      </c>
      <c r="D6" s="11">
        <v>5000</v>
      </c>
      <c r="E6" s="11">
        <v>1</v>
      </c>
      <c r="F6" s="11">
        <v>1</v>
      </c>
      <c r="G6" s="31">
        <v>1</v>
      </c>
      <c r="H6" s="11">
        <v>1</v>
      </c>
      <c r="I6" s="60">
        <f>H6/1000</f>
        <v>1E-3</v>
      </c>
    </row>
    <row r="7" spans="1:9" x14ac:dyDescent="0.2">
      <c r="B7" s="11">
        <v>10001</v>
      </c>
      <c r="C7" s="11">
        <v>2</v>
      </c>
      <c r="D7" s="11">
        <v>5000</v>
      </c>
      <c r="E7" s="11">
        <v>3</v>
      </c>
      <c r="F7" s="11">
        <v>1</v>
      </c>
      <c r="G7" s="31">
        <v>1</v>
      </c>
      <c r="H7" s="11">
        <v>2</v>
      </c>
      <c r="I7" s="60">
        <f t="shared" ref="I7:I38" si="0">H7/1000</f>
        <v>2E-3</v>
      </c>
    </row>
    <row r="8" spans="1:9" x14ac:dyDescent="0.2">
      <c r="B8" s="11">
        <v>10002</v>
      </c>
      <c r="C8" s="11">
        <v>3</v>
      </c>
      <c r="D8" s="11">
        <v>5000</v>
      </c>
      <c r="E8" s="11">
        <v>5</v>
      </c>
      <c r="F8" s="11">
        <v>1</v>
      </c>
      <c r="G8" s="31">
        <v>1</v>
      </c>
      <c r="H8" s="11">
        <v>3</v>
      </c>
      <c r="I8" s="60">
        <f t="shared" si="0"/>
        <v>3.0000000000000001E-3</v>
      </c>
    </row>
    <row r="9" spans="1:9" x14ac:dyDescent="0.2">
      <c r="B9" s="11">
        <v>10003</v>
      </c>
      <c r="C9" s="11">
        <v>4</v>
      </c>
      <c r="D9" s="11">
        <v>5000</v>
      </c>
      <c r="E9" s="11">
        <v>7</v>
      </c>
      <c r="F9" s="11">
        <v>1</v>
      </c>
      <c r="G9" s="31">
        <v>1</v>
      </c>
      <c r="H9" s="11">
        <v>4</v>
      </c>
      <c r="I9" s="60">
        <f t="shared" si="0"/>
        <v>4.0000000000000001E-3</v>
      </c>
    </row>
    <row r="10" spans="1:9" x14ac:dyDescent="0.2">
      <c r="B10" s="11">
        <v>10004</v>
      </c>
      <c r="C10" s="11">
        <v>5</v>
      </c>
      <c r="D10" s="11">
        <v>5000</v>
      </c>
      <c r="E10" s="11">
        <v>9</v>
      </c>
      <c r="F10" s="11">
        <v>1</v>
      </c>
      <c r="G10" s="31">
        <v>1</v>
      </c>
      <c r="H10" s="11">
        <v>5</v>
      </c>
      <c r="I10" s="60">
        <f t="shared" si="0"/>
        <v>5.0000000000000001E-3</v>
      </c>
    </row>
    <row r="11" spans="1:9" x14ac:dyDescent="0.2">
      <c r="B11" s="11">
        <v>10005</v>
      </c>
      <c r="C11" s="11">
        <v>6</v>
      </c>
      <c r="D11" s="11">
        <v>5000</v>
      </c>
      <c r="E11" s="11">
        <v>12</v>
      </c>
      <c r="F11" s="11">
        <v>1</v>
      </c>
      <c r="G11" s="31">
        <v>1</v>
      </c>
      <c r="H11" s="11">
        <v>6</v>
      </c>
      <c r="I11" s="60">
        <f t="shared" si="0"/>
        <v>6.0000000000000001E-3</v>
      </c>
    </row>
    <row r="12" spans="1:9" x14ac:dyDescent="0.2">
      <c r="B12" s="11">
        <v>10006</v>
      </c>
      <c r="C12" s="11">
        <v>7</v>
      </c>
      <c r="D12" s="11">
        <v>5000</v>
      </c>
      <c r="E12" s="11">
        <v>15</v>
      </c>
      <c r="F12" s="11">
        <v>1</v>
      </c>
      <c r="G12" s="31">
        <v>1</v>
      </c>
      <c r="H12" s="11">
        <v>7</v>
      </c>
      <c r="I12" s="60">
        <f t="shared" si="0"/>
        <v>7.0000000000000001E-3</v>
      </c>
    </row>
    <row r="13" spans="1:9" x14ac:dyDescent="0.2">
      <c r="B13" s="11">
        <v>10007</v>
      </c>
      <c r="C13" s="11">
        <v>8</v>
      </c>
      <c r="D13" s="11">
        <v>5000</v>
      </c>
      <c r="E13" s="11">
        <v>18</v>
      </c>
      <c r="F13" s="11">
        <v>1</v>
      </c>
      <c r="G13" s="31">
        <v>1</v>
      </c>
      <c r="H13" s="11">
        <v>8</v>
      </c>
      <c r="I13" s="60">
        <f t="shared" si="0"/>
        <v>8.0000000000000002E-3</v>
      </c>
    </row>
    <row r="14" spans="1:9" x14ac:dyDescent="0.2">
      <c r="B14" s="11">
        <v>10008</v>
      </c>
      <c r="C14" s="11">
        <v>9</v>
      </c>
      <c r="D14" s="11">
        <v>10000</v>
      </c>
      <c r="E14" s="11">
        <v>21</v>
      </c>
      <c r="F14" s="11">
        <v>1</v>
      </c>
      <c r="G14" s="31">
        <v>1</v>
      </c>
      <c r="H14" s="11">
        <v>9</v>
      </c>
      <c r="I14" s="60">
        <f t="shared" si="0"/>
        <v>8.9999999999999993E-3</v>
      </c>
    </row>
    <row r="15" spans="1:9" x14ac:dyDescent="0.2">
      <c r="B15" s="11">
        <v>10009</v>
      </c>
      <c r="C15" s="11">
        <v>10</v>
      </c>
      <c r="D15" s="11">
        <v>10000</v>
      </c>
      <c r="E15" s="11">
        <v>25</v>
      </c>
      <c r="F15" s="11">
        <v>2</v>
      </c>
      <c r="G15" s="31">
        <v>1</v>
      </c>
      <c r="H15" s="11">
        <v>10</v>
      </c>
      <c r="I15" s="60">
        <f t="shared" si="0"/>
        <v>0.01</v>
      </c>
    </row>
    <row r="16" spans="1:9" x14ac:dyDescent="0.2">
      <c r="B16" s="11">
        <v>10010</v>
      </c>
      <c r="C16" s="11">
        <v>11</v>
      </c>
      <c r="D16" s="11">
        <v>10000</v>
      </c>
      <c r="E16" s="11">
        <v>30</v>
      </c>
      <c r="F16" s="11">
        <v>2</v>
      </c>
      <c r="G16" s="31">
        <v>1</v>
      </c>
      <c r="H16" s="11">
        <v>11</v>
      </c>
      <c r="I16" s="60">
        <f t="shared" si="0"/>
        <v>1.0999999999999999E-2</v>
      </c>
    </row>
    <row r="17" spans="2:9" x14ac:dyDescent="0.2">
      <c r="B17" s="11">
        <v>10011</v>
      </c>
      <c r="C17" s="11">
        <v>12</v>
      </c>
      <c r="D17" s="11">
        <v>10000</v>
      </c>
      <c r="E17" s="11">
        <v>35</v>
      </c>
      <c r="F17" s="11">
        <v>2</v>
      </c>
      <c r="G17" s="31">
        <v>1</v>
      </c>
      <c r="H17" s="11">
        <v>12</v>
      </c>
      <c r="I17" s="60">
        <f t="shared" si="0"/>
        <v>1.2E-2</v>
      </c>
    </row>
    <row r="18" spans="2:9" x14ac:dyDescent="0.2">
      <c r="B18" s="11">
        <v>10012</v>
      </c>
      <c r="C18" s="11">
        <v>13</v>
      </c>
      <c r="D18" s="11">
        <v>10000</v>
      </c>
      <c r="E18" s="11">
        <v>40</v>
      </c>
      <c r="F18" s="11">
        <v>2</v>
      </c>
      <c r="G18" s="31">
        <v>1</v>
      </c>
      <c r="H18" s="11">
        <v>13</v>
      </c>
      <c r="I18" s="60">
        <f t="shared" si="0"/>
        <v>1.2999999999999999E-2</v>
      </c>
    </row>
    <row r="19" spans="2:9" x14ac:dyDescent="0.2">
      <c r="B19" s="11">
        <v>10013</v>
      </c>
      <c r="C19" s="11">
        <v>14</v>
      </c>
      <c r="D19" s="11">
        <v>10000</v>
      </c>
      <c r="E19" s="11">
        <v>45</v>
      </c>
      <c r="F19" s="11">
        <v>2</v>
      </c>
      <c r="G19" s="31">
        <v>1</v>
      </c>
      <c r="H19" s="11">
        <v>14</v>
      </c>
      <c r="I19" s="60">
        <f t="shared" si="0"/>
        <v>1.4E-2</v>
      </c>
    </row>
    <row r="20" spans="2:9" x14ac:dyDescent="0.2">
      <c r="B20" s="11">
        <v>10014</v>
      </c>
      <c r="C20" s="11">
        <v>15</v>
      </c>
      <c r="D20" s="11">
        <v>10000</v>
      </c>
      <c r="E20" s="11">
        <v>50</v>
      </c>
      <c r="F20" s="11">
        <v>2</v>
      </c>
      <c r="G20" s="31">
        <v>1</v>
      </c>
      <c r="H20" s="11">
        <v>15</v>
      </c>
      <c r="I20" s="60">
        <f t="shared" si="0"/>
        <v>1.4999999999999999E-2</v>
      </c>
    </row>
    <row r="21" spans="2:9" x14ac:dyDescent="0.2">
      <c r="B21" s="11">
        <v>10015</v>
      </c>
      <c r="C21" s="11">
        <v>16</v>
      </c>
      <c r="D21" s="11">
        <v>10000</v>
      </c>
      <c r="E21" s="11">
        <v>60</v>
      </c>
      <c r="F21" s="11">
        <v>2</v>
      </c>
      <c r="G21" s="31">
        <v>1</v>
      </c>
      <c r="H21" s="11">
        <v>16</v>
      </c>
      <c r="I21" s="60">
        <f t="shared" si="0"/>
        <v>1.6E-2</v>
      </c>
    </row>
    <row r="22" spans="2:9" x14ac:dyDescent="0.2">
      <c r="B22" s="11">
        <v>10016</v>
      </c>
      <c r="C22" s="11">
        <v>17</v>
      </c>
      <c r="D22" s="11">
        <v>10000</v>
      </c>
      <c r="E22" s="11">
        <v>70</v>
      </c>
      <c r="F22" s="11">
        <v>2</v>
      </c>
      <c r="G22" s="31">
        <v>1</v>
      </c>
      <c r="H22" s="11">
        <v>17</v>
      </c>
      <c r="I22" s="60">
        <f t="shared" si="0"/>
        <v>1.7000000000000001E-2</v>
      </c>
    </row>
    <row r="23" spans="2:9" x14ac:dyDescent="0.2">
      <c r="B23" s="11">
        <v>10017</v>
      </c>
      <c r="C23" s="11">
        <v>18</v>
      </c>
      <c r="D23" s="11">
        <v>10000</v>
      </c>
      <c r="E23" s="11">
        <v>80</v>
      </c>
      <c r="F23" s="11">
        <v>2</v>
      </c>
      <c r="G23" s="31">
        <v>1</v>
      </c>
      <c r="H23" s="11">
        <v>18</v>
      </c>
      <c r="I23" s="60">
        <f t="shared" si="0"/>
        <v>1.7999999999999999E-2</v>
      </c>
    </row>
    <row r="24" spans="2:9" x14ac:dyDescent="0.2">
      <c r="B24" s="11">
        <v>10018</v>
      </c>
      <c r="C24" s="11">
        <v>19</v>
      </c>
      <c r="D24" s="11">
        <v>20000</v>
      </c>
      <c r="E24" s="11">
        <v>90</v>
      </c>
      <c r="F24" s="11">
        <v>2</v>
      </c>
      <c r="G24" s="31">
        <v>1</v>
      </c>
      <c r="H24" s="11">
        <v>19</v>
      </c>
      <c r="I24" s="60">
        <f t="shared" si="0"/>
        <v>1.9E-2</v>
      </c>
    </row>
    <row r="25" spans="2:9" x14ac:dyDescent="0.2">
      <c r="B25" s="11">
        <v>10019</v>
      </c>
      <c r="C25" s="11">
        <v>20</v>
      </c>
      <c r="D25" s="11">
        <v>20000</v>
      </c>
      <c r="E25" s="11">
        <v>100</v>
      </c>
      <c r="F25" s="11">
        <v>3</v>
      </c>
      <c r="G25" s="31">
        <v>1</v>
      </c>
      <c r="H25" s="11">
        <v>20</v>
      </c>
      <c r="I25" s="60">
        <f t="shared" si="0"/>
        <v>0.02</v>
      </c>
    </row>
    <row r="26" spans="2:9" x14ac:dyDescent="0.2">
      <c r="B26" s="11">
        <v>10020</v>
      </c>
      <c r="C26" s="11">
        <v>21</v>
      </c>
      <c r="D26" s="11">
        <v>20000</v>
      </c>
      <c r="E26" s="11">
        <f>E25+10</f>
        <v>110</v>
      </c>
      <c r="F26" s="11">
        <v>3</v>
      </c>
      <c r="G26" s="31">
        <v>1</v>
      </c>
      <c r="H26" s="11">
        <v>21</v>
      </c>
      <c r="I26" s="60">
        <f t="shared" si="0"/>
        <v>2.1000000000000001E-2</v>
      </c>
    </row>
    <row r="27" spans="2:9" x14ac:dyDescent="0.2">
      <c r="B27" s="11">
        <v>10021</v>
      </c>
      <c r="C27" s="11">
        <v>22</v>
      </c>
      <c r="D27" s="11">
        <v>20000</v>
      </c>
      <c r="E27" s="11">
        <f t="shared" ref="E27:E58" si="1">E26+10</f>
        <v>120</v>
      </c>
      <c r="F27" s="11">
        <v>3</v>
      </c>
      <c r="G27" s="31">
        <v>1</v>
      </c>
      <c r="H27" s="11">
        <v>22</v>
      </c>
      <c r="I27" s="60">
        <f t="shared" si="0"/>
        <v>2.1999999999999999E-2</v>
      </c>
    </row>
    <row r="28" spans="2:9" x14ac:dyDescent="0.2">
      <c r="B28" s="11">
        <v>10022</v>
      </c>
      <c r="C28" s="11">
        <v>23</v>
      </c>
      <c r="D28" s="11">
        <v>20000</v>
      </c>
      <c r="E28" s="11">
        <f t="shared" si="1"/>
        <v>130</v>
      </c>
      <c r="F28" s="11">
        <v>3</v>
      </c>
      <c r="G28" s="31">
        <v>1</v>
      </c>
      <c r="H28" s="11">
        <v>23</v>
      </c>
      <c r="I28" s="60">
        <f t="shared" si="0"/>
        <v>2.3E-2</v>
      </c>
    </row>
    <row r="29" spans="2:9" x14ac:dyDescent="0.2">
      <c r="B29" s="11">
        <v>10023</v>
      </c>
      <c r="C29" s="11">
        <v>24</v>
      </c>
      <c r="D29" s="11">
        <v>20000</v>
      </c>
      <c r="E29" s="11">
        <f t="shared" si="1"/>
        <v>140</v>
      </c>
      <c r="F29" s="11">
        <v>3</v>
      </c>
      <c r="G29" s="31">
        <v>1</v>
      </c>
      <c r="H29" s="11">
        <v>24</v>
      </c>
      <c r="I29" s="60">
        <f t="shared" si="0"/>
        <v>2.4E-2</v>
      </c>
    </row>
    <row r="30" spans="2:9" x14ac:dyDescent="0.2">
      <c r="B30" s="11">
        <v>10024</v>
      </c>
      <c r="C30" s="11">
        <v>25</v>
      </c>
      <c r="D30" s="11">
        <v>20000</v>
      </c>
      <c r="E30" s="11">
        <f t="shared" si="1"/>
        <v>150</v>
      </c>
      <c r="F30" s="11">
        <v>3</v>
      </c>
      <c r="G30" s="31">
        <v>1</v>
      </c>
      <c r="H30" s="11">
        <v>25</v>
      </c>
      <c r="I30" s="60">
        <f t="shared" si="0"/>
        <v>2.5000000000000001E-2</v>
      </c>
    </row>
    <row r="31" spans="2:9" x14ac:dyDescent="0.2">
      <c r="B31" s="11">
        <v>10025</v>
      </c>
      <c r="C31" s="11">
        <v>26</v>
      </c>
      <c r="D31" s="11">
        <v>20000</v>
      </c>
      <c r="E31" s="11">
        <f t="shared" si="1"/>
        <v>160</v>
      </c>
      <c r="F31" s="11">
        <v>3</v>
      </c>
      <c r="G31" s="31">
        <v>1</v>
      </c>
      <c r="H31" s="11">
        <v>26</v>
      </c>
      <c r="I31" s="60">
        <f t="shared" si="0"/>
        <v>2.5999999999999999E-2</v>
      </c>
    </row>
    <row r="32" spans="2:9" x14ac:dyDescent="0.2">
      <c r="B32" s="11">
        <v>10026</v>
      </c>
      <c r="C32" s="11">
        <v>27</v>
      </c>
      <c r="D32" s="11">
        <v>20000</v>
      </c>
      <c r="E32" s="11">
        <f t="shared" si="1"/>
        <v>170</v>
      </c>
      <c r="F32" s="11">
        <v>3</v>
      </c>
      <c r="G32" s="31">
        <v>1</v>
      </c>
      <c r="H32" s="11">
        <v>27</v>
      </c>
      <c r="I32" s="60">
        <f t="shared" si="0"/>
        <v>2.7E-2</v>
      </c>
    </row>
    <row r="33" spans="2:9" x14ac:dyDescent="0.2">
      <c r="B33" s="11">
        <v>10027</v>
      </c>
      <c r="C33" s="11">
        <v>28</v>
      </c>
      <c r="D33" s="11">
        <v>20000</v>
      </c>
      <c r="E33" s="11">
        <f t="shared" si="1"/>
        <v>180</v>
      </c>
      <c r="F33" s="11">
        <v>3</v>
      </c>
      <c r="G33" s="31">
        <v>1</v>
      </c>
      <c r="H33" s="11">
        <v>28</v>
      </c>
      <c r="I33" s="60">
        <f t="shared" si="0"/>
        <v>2.8000000000000001E-2</v>
      </c>
    </row>
    <row r="34" spans="2:9" x14ac:dyDescent="0.2">
      <c r="B34" s="11">
        <v>10028</v>
      </c>
      <c r="C34" s="11">
        <v>29</v>
      </c>
      <c r="D34" s="11">
        <v>30000</v>
      </c>
      <c r="E34" s="11">
        <f t="shared" si="1"/>
        <v>190</v>
      </c>
      <c r="F34" s="11">
        <v>3</v>
      </c>
      <c r="G34" s="31">
        <v>1</v>
      </c>
      <c r="H34" s="11">
        <v>29</v>
      </c>
      <c r="I34" s="60">
        <f t="shared" si="0"/>
        <v>2.9000000000000001E-2</v>
      </c>
    </row>
    <row r="35" spans="2:9" x14ac:dyDescent="0.2">
      <c r="B35" s="11">
        <v>10029</v>
      </c>
      <c r="C35" s="11">
        <v>30</v>
      </c>
      <c r="D35" s="11">
        <v>30000</v>
      </c>
      <c r="E35" s="11">
        <f t="shared" si="1"/>
        <v>200</v>
      </c>
      <c r="F35" s="11">
        <v>3</v>
      </c>
      <c r="G35" s="31">
        <v>1</v>
      </c>
      <c r="H35" s="11">
        <v>30</v>
      </c>
      <c r="I35" s="60">
        <f t="shared" si="0"/>
        <v>0.03</v>
      </c>
    </row>
    <row r="36" spans="2:9" x14ac:dyDescent="0.2">
      <c r="B36" s="11">
        <v>10030</v>
      </c>
      <c r="C36" s="11">
        <v>31</v>
      </c>
      <c r="D36" s="11">
        <v>30000</v>
      </c>
      <c r="E36" s="11">
        <f t="shared" si="1"/>
        <v>210</v>
      </c>
      <c r="F36" s="11">
        <v>3</v>
      </c>
      <c r="G36" s="31">
        <v>1</v>
      </c>
      <c r="H36" s="11">
        <v>31</v>
      </c>
      <c r="I36" s="60">
        <f t="shared" si="0"/>
        <v>3.1E-2</v>
      </c>
    </row>
    <row r="37" spans="2:9" x14ac:dyDescent="0.2">
      <c r="B37" s="11">
        <v>10031</v>
      </c>
      <c r="C37" s="11">
        <v>32</v>
      </c>
      <c r="D37" s="11">
        <v>30000</v>
      </c>
      <c r="E37" s="11">
        <f t="shared" si="1"/>
        <v>220</v>
      </c>
      <c r="F37" s="11">
        <v>3</v>
      </c>
      <c r="G37" s="31">
        <v>1</v>
      </c>
      <c r="H37" s="11">
        <v>32</v>
      </c>
      <c r="I37" s="60">
        <f t="shared" si="0"/>
        <v>3.2000000000000001E-2</v>
      </c>
    </row>
    <row r="38" spans="2:9" x14ac:dyDescent="0.2">
      <c r="B38" s="11">
        <v>10032</v>
      </c>
      <c r="C38" s="11">
        <v>33</v>
      </c>
      <c r="D38" s="11">
        <v>30000</v>
      </c>
      <c r="E38" s="11">
        <f t="shared" si="1"/>
        <v>230</v>
      </c>
      <c r="F38" s="11">
        <v>3</v>
      </c>
      <c r="G38" s="31">
        <v>1</v>
      </c>
      <c r="H38" s="11">
        <v>33</v>
      </c>
      <c r="I38" s="60">
        <f t="shared" si="0"/>
        <v>3.3000000000000002E-2</v>
      </c>
    </row>
    <row r="39" spans="2:9" x14ac:dyDescent="0.2">
      <c r="B39" s="11">
        <v>10033</v>
      </c>
      <c r="C39" s="11">
        <v>34</v>
      </c>
      <c r="D39" s="11">
        <v>30000</v>
      </c>
      <c r="E39" s="11">
        <f t="shared" si="1"/>
        <v>240</v>
      </c>
      <c r="F39" s="11">
        <v>3</v>
      </c>
      <c r="G39" s="31">
        <v>1</v>
      </c>
      <c r="H39" s="11">
        <v>34</v>
      </c>
      <c r="I39" s="60">
        <f t="shared" ref="I39:I70" si="2">H39/1000</f>
        <v>3.4000000000000002E-2</v>
      </c>
    </row>
    <row r="40" spans="2:9" x14ac:dyDescent="0.2">
      <c r="B40" s="11">
        <v>10034</v>
      </c>
      <c r="C40" s="11">
        <v>35</v>
      </c>
      <c r="D40" s="11">
        <v>30000</v>
      </c>
      <c r="E40" s="11">
        <f t="shared" si="1"/>
        <v>250</v>
      </c>
      <c r="F40" s="11">
        <v>3</v>
      </c>
      <c r="G40" s="31">
        <v>1</v>
      </c>
      <c r="H40" s="11">
        <v>35</v>
      </c>
      <c r="I40" s="60">
        <f t="shared" si="2"/>
        <v>3.5000000000000003E-2</v>
      </c>
    </row>
    <row r="41" spans="2:9" x14ac:dyDescent="0.2">
      <c r="B41" s="11">
        <v>10035</v>
      </c>
      <c r="C41" s="11">
        <v>36</v>
      </c>
      <c r="D41" s="11">
        <v>30000</v>
      </c>
      <c r="E41" s="11">
        <f t="shared" si="1"/>
        <v>260</v>
      </c>
      <c r="F41" s="11">
        <v>3</v>
      </c>
      <c r="G41" s="31">
        <v>1</v>
      </c>
      <c r="H41" s="11">
        <v>36</v>
      </c>
      <c r="I41" s="60">
        <f t="shared" si="2"/>
        <v>3.5999999999999997E-2</v>
      </c>
    </row>
    <row r="42" spans="2:9" x14ac:dyDescent="0.2">
      <c r="B42" s="11">
        <v>10036</v>
      </c>
      <c r="C42" s="11">
        <v>37</v>
      </c>
      <c r="D42" s="11">
        <v>30000</v>
      </c>
      <c r="E42" s="11">
        <f t="shared" si="1"/>
        <v>270</v>
      </c>
      <c r="F42" s="11">
        <v>3</v>
      </c>
      <c r="G42" s="31">
        <v>1</v>
      </c>
      <c r="H42" s="11">
        <v>37</v>
      </c>
      <c r="I42" s="60">
        <f t="shared" si="2"/>
        <v>3.6999999999999998E-2</v>
      </c>
    </row>
    <row r="43" spans="2:9" x14ac:dyDescent="0.2">
      <c r="B43" s="11">
        <v>10037</v>
      </c>
      <c r="C43" s="11">
        <v>38</v>
      </c>
      <c r="D43" s="11">
        <v>30000</v>
      </c>
      <c r="E43" s="11">
        <f t="shared" si="1"/>
        <v>280</v>
      </c>
      <c r="F43" s="11">
        <v>3</v>
      </c>
      <c r="G43" s="31">
        <v>1</v>
      </c>
      <c r="H43" s="11">
        <v>38</v>
      </c>
      <c r="I43" s="60">
        <f t="shared" si="2"/>
        <v>3.7999999999999999E-2</v>
      </c>
    </row>
    <row r="44" spans="2:9" x14ac:dyDescent="0.2">
      <c r="B44" s="11">
        <v>10038</v>
      </c>
      <c r="C44" s="11">
        <v>39</v>
      </c>
      <c r="D44" s="11">
        <v>40000</v>
      </c>
      <c r="E44" s="11">
        <f t="shared" si="1"/>
        <v>290</v>
      </c>
      <c r="F44" s="11">
        <v>3</v>
      </c>
      <c r="G44" s="31">
        <v>1</v>
      </c>
      <c r="H44" s="11">
        <v>39</v>
      </c>
      <c r="I44" s="60">
        <f t="shared" si="2"/>
        <v>3.9E-2</v>
      </c>
    </row>
    <row r="45" spans="2:9" x14ac:dyDescent="0.2">
      <c r="B45" s="11">
        <v>10039</v>
      </c>
      <c r="C45" s="11">
        <v>40</v>
      </c>
      <c r="D45" s="11">
        <v>40000</v>
      </c>
      <c r="E45" s="11">
        <f t="shared" si="1"/>
        <v>300</v>
      </c>
      <c r="F45" s="11">
        <v>4</v>
      </c>
      <c r="G45" s="31">
        <v>1</v>
      </c>
      <c r="H45" s="11">
        <v>40</v>
      </c>
      <c r="I45" s="60">
        <f t="shared" si="2"/>
        <v>0.04</v>
      </c>
    </row>
    <row r="46" spans="2:9" x14ac:dyDescent="0.2">
      <c r="B46" s="11">
        <v>10040</v>
      </c>
      <c r="C46" s="11">
        <v>41</v>
      </c>
      <c r="D46" s="11">
        <v>40000</v>
      </c>
      <c r="E46" s="11">
        <f t="shared" si="1"/>
        <v>310</v>
      </c>
      <c r="F46" s="11">
        <v>4</v>
      </c>
      <c r="G46" s="31">
        <v>1</v>
      </c>
      <c r="H46" s="11">
        <v>41</v>
      </c>
      <c r="I46" s="60">
        <f t="shared" si="2"/>
        <v>4.1000000000000002E-2</v>
      </c>
    </row>
    <row r="47" spans="2:9" x14ac:dyDescent="0.2">
      <c r="B47" s="11">
        <v>10041</v>
      </c>
      <c r="C47" s="11">
        <v>42</v>
      </c>
      <c r="D47" s="11">
        <v>40000</v>
      </c>
      <c r="E47" s="11">
        <f t="shared" si="1"/>
        <v>320</v>
      </c>
      <c r="F47" s="11">
        <v>4</v>
      </c>
      <c r="G47" s="31">
        <v>1</v>
      </c>
      <c r="H47" s="11">
        <v>42</v>
      </c>
      <c r="I47" s="60">
        <f t="shared" si="2"/>
        <v>4.2000000000000003E-2</v>
      </c>
    </row>
    <row r="48" spans="2:9" x14ac:dyDescent="0.2">
      <c r="B48" s="11">
        <v>10042</v>
      </c>
      <c r="C48" s="11">
        <v>43</v>
      </c>
      <c r="D48" s="11">
        <v>40000</v>
      </c>
      <c r="E48" s="11">
        <f t="shared" si="1"/>
        <v>330</v>
      </c>
      <c r="F48" s="11">
        <v>4</v>
      </c>
      <c r="G48" s="31">
        <v>1</v>
      </c>
      <c r="H48" s="11">
        <v>43</v>
      </c>
      <c r="I48" s="60">
        <f t="shared" si="2"/>
        <v>4.2999999999999997E-2</v>
      </c>
    </row>
    <row r="49" spans="2:9" x14ac:dyDescent="0.2">
      <c r="B49" s="11">
        <v>10043</v>
      </c>
      <c r="C49" s="11">
        <v>44</v>
      </c>
      <c r="D49" s="11">
        <v>40000</v>
      </c>
      <c r="E49" s="11">
        <f t="shared" si="1"/>
        <v>340</v>
      </c>
      <c r="F49" s="11">
        <v>4</v>
      </c>
      <c r="G49" s="31">
        <v>1</v>
      </c>
      <c r="H49" s="11">
        <v>44</v>
      </c>
      <c r="I49" s="60">
        <f t="shared" si="2"/>
        <v>4.3999999999999997E-2</v>
      </c>
    </row>
    <row r="50" spans="2:9" x14ac:dyDescent="0.2">
      <c r="B50" s="11">
        <v>10044</v>
      </c>
      <c r="C50" s="11">
        <v>45</v>
      </c>
      <c r="D50" s="11">
        <v>40000</v>
      </c>
      <c r="E50" s="11">
        <f t="shared" si="1"/>
        <v>350</v>
      </c>
      <c r="F50" s="11">
        <v>4</v>
      </c>
      <c r="G50" s="31">
        <v>1</v>
      </c>
      <c r="H50" s="11">
        <v>45</v>
      </c>
      <c r="I50" s="60">
        <f t="shared" si="2"/>
        <v>4.4999999999999998E-2</v>
      </c>
    </row>
    <row r="51" spans="2:9" x14ac:dyDescent="0.2">
      <c r="B51" s="11">
        <v>10045</v>
      </c>
      <c r="C51" s="11">
        <v>46</v>
      </c>
      <c r="D51" s="11">
        <v>40000</v>
      </c>
      <c r="E51" s="11">
        <f t="shared" si="1"/>
        <v>360</v>
      </c>
      <c r="F51" s="11">
        <v>4</v>
      </c>
      <c r="G51" s="31">
        <v>1</v>
      </c>
      <c r="H51" s="11">
        <v>46</v>
      </c>
      <c r="I51" s="60">
        <f t="shared" si="2"/>
        <v>4.5999999999999999E-2</v>
      </c>
    </row>
    <row r="52" spans="2:9" x14ac:dyDescent="0.2">
      <c r="B52" s="11">
        <v>10046</v>
      </c>
      <c r="C52" s="11">
        <v>47</v>
      </c>
      <c r="D52" s="11">
        <v>40000</v>
      </c>
      <c r="E52" s="11">
        <f t="shared" si="1"/>
        <v>370</v>
      </c>
      <c r="F52" s="11">
        <v>4</v>
      </c>
      <c r="G52" s="31">
        <v>1</v>
      </c>
      <c r="H52" s="11">
        <v>47</v>
      </c>
      <c r="I52" s="60">
        <f t="shared" si="2"/>
        <v>4.7E-2</v>
      </c>
    </row>
    <row r="53" spans="2:9" x14ac:dyDescent="0.2">
      <c r="B53" s="11">
        <v>10047</v>
      </c>
      <c r="C53" s="11">
        <v>48</v>
      </c>
      <c r="D53" s="11">
        <v>40000</v>
      </c>
      <c r="E53" s="11">
        <f t="shared" si="1"/>
        <v>380</v>
      </c>
      <c r="F53" s="11">
        <v>4</v>
      </c>
      <c r="G53" s="31">
        <v>1</v>
      </c>
      <c r="H53" s="11">
        <v>48</v>
      </c>
      <c r="I53" s="60">
        <f t="shared" si="2"/>
        <v>4.8000000000000001E-2</v>
      </c>
    </row>
    <row r="54" spans="2:9" x14ac:dyDescent="0.2">
      <c r="B54" s="11">
        <v>10048</v>
      </c>
      <c r="C54" s="11">
        <v>49</v>
      </c>
      <c r="D54" s="11">
        <v>50000</v>
      </c>
      <c r="E54" s="11">
        <f t="shared" si="1"/>
        <v>390</v>
      </c>
      <c r="F54" s="11">
        <v>4</v>
      </c>
      <c r="G54" s="31">
        <v>1</v>
      </c>
      <c r="H54" s="11">
        <v>49</v>
      </c>
      <c r="I54" s="60">
        <f t="shared" si="2"/>
        <v>4.9000000000000002E-2</v>
      </c>
    </row>
    <row r="55" spans="2:9" x14ac:dyDescent="0.2">
      <c r="B55" s="11">
        <v>10049</v>
      </c>
      <c r="C55" s="11">
        <v>50</v>
      </c>
      <c r="D55" s="11">
        <v>50000</v>
      </c>
      <c r="E55" s="11">
        <f t="shared" si="1"/>
        <v>400</v>
      </c>
      <c r="F55" s="11">
        <v>4</v>
      </c>
      <c r="G55" s="31">
        <v>1</v>
      </c>
      <c r="H55" s="11">
        <v>50</v>
      </c>
      <c r="I55" s="60">
        <f t="shared" si="2"/>
        <v>0.05</v>
      </c>
    </row>
    <row r="56" spans="2:9" x14ac:dyDescent="0.2">
      <c r="B56" s="11">
        <v>10050</v>
      </c>
      <c r="C56" s="11">
        <v>51</v>
      </c>
      <c r="D56" s="11">
        <v>50000</v>
      </c>
      <c r="E56" s="11">
        <f t="shared" si="1"/>
        <v>410</v>
      </c>
      <c r="F56" s="11">
        <v>4</v>
      </c>
      <c r="G56" s="31">
        <v>1</v>
      </c>
      <c r="H56" s="11">
        <v>51</v>
      </c>
      <c r="I56" s="60">
        <f t="shared" si="2"/>
        <v>5.0999999999999997E-2</v>
      </c>
    </row>
    <row r="57" spans="2:9" x14ac:dyDescent="0.2">
      <c r="B57" s="11">
        <v>10051</v>
      </c>
      <c r="C57" s="11">
        <v>52</v>
      </c>
      <c r="D57" s="11">
        <v>50000</v>
      </c>
      <c r="E57" s="11">
        <f t="shared" si="1"/>
        <v>420</v>
      </c>
      <c r="F57" s="11">
        <v>4</v>
      </c>
      <c r="G57" s="31">
        <v>1</v>
      </c>
      <c r="H57" s="11">
        <v>52</v>
      </c>
      <c r="I57" s="60">
        <f t="shared" si="2"/>
        <v>5.1999999999999998E-2</v>
      </c>
    </row>
    <row r="58" spans="2:9" x14ac:dyDescent="0.2">
      <c r="B58" s="11">
        <v>10052</v>
      </c>
      <c r="C58" s="11">
        <v>53</v>
      </c>
      <c r="D58" s="11">
        <v>50000</v>
      </c>
      <c r="E58" s="11">
        <f t="shared" si="1"/>
        <v>430</v>
      </c>
      <c r="F58" s="11">
        <v>4</v>
      </c>
      <c r="G58" s="31">
        <v>1</v>
      </c>
      <c r="H58" s="11">
        <v>53</v>
      </c>
      <c r="I58" s="60">
        <f t="shared" si="2"/>
        <v>5.2999999999999999E-2</v>
      </c>
    </row>
    <row r="59" spans="2:9" x14ac:dyDescent="0.2">
      <c r="B59" s="11">
        <v>10053</v>
      </c>
      <c r="C59" s="11">
        <v>54</v>
      </c>
      <c r="D59" s="11">
        <v>50000</v>
      </c>
      <c r="E59" s="11">
        <f t="shared" ref="E59:E103" si="3">E58+10</f>
        <v>440</v>
      </c>
      <c r="F59" s="11">
        <v>4</v>
      </c>
      <c r="G59" s="31">
        <v>1</v>
      </c>
      <c r="H59" s="11">
        <v>54</v>
      </c>
      <c r="I59" s="60">
        <f t="shared" si="2"/>
        <v>5.3999999999999999E-2</v>
      </c>
    </row>
    <row r="60" spans="2:9" x14ac:dyDescent="0.2">
      <c r="B60" s="11">
        <v>10054</v>
      </c>
      <c r="C60" s="11">
        <v>55</v>
      </c>
      <c r="D60" s="11">
        <v>50000</v>
      </c>
      <c r="E60" s="11">
        <f t="shared" si="3"/>
        <v>450</v>
      </c>
      <c r="F60" s="11">
        <v>4</v>
      </c>
      <c r="G60" s="31">
        <v>1</v>
      </c>
      <c r="H60" s="11">
        <v>55</v>
      </c>
      <c r="I60" s="60">
        <f t="shared" si="2"/>
        <v>5.5E-2</v>
      </c>
    </row>
    <row r="61" spans="2:9" x14ac:dyDescent="0.2">
      <c r="B61" s="11">
        <v>10055</v>
      </c>
      <c r="C61" s="11">
        <v>56</v>
      </c>
      <c r="D61" s="11">
        <v>50000</v>
      </c>
      <c r="E61" s="11">
        <f t="shared" si="3"/>
        <v>460</v>
      </c>
      <c r="F61" s="11">
        <v>4</v>
      </c>
      <c r="G61" s="31">
        <v>1</v>
      </c>
      <c r="H61" s="11">
        <v>56</v>
      </c>
      <c r="I61" s="60">
        <f t="shared" si="2"/>
        <v>5.6000000000000001E-2</v>
      </c>
    </row>
    <row r="62" spans="2:9" x14ac:dyDescent="0.2">
      <c r="B62" s="11">
        <v>10056</v>
      </c>
      <c r="C62" s="11">
        <v>57</v>
      </c>
      <c r="D62" s="11">
        <v>50000</v>
      </c>
      <c r="E62" s="11">
        <f t="shared" si="3"/>
        <v>470</v>
      </c>
      <c r="F62" s="11">
        <v>4</v>
      </c>
      <c r="G62" s="31">
        <v>1</v>
      </c>
      <c r="H62" s="11">
        <v>57</v>
      </c>
      <c r="I62" s="60">
        <f t="shared" si="2"/>
        <v>5.7000000000000002E-2</v>
      </c>
    </row>
    <row r="63" spans="2:9" x14ac:dyDescent="0.2">
      <c r="B63" s="11">
        <v>10057</v>
      </c>
      <c r="C63" s="11">
        <v>58</v>
      </c>
      <c r="D63" s="11">
        <v>50000</v>
      </c>
      <c r="E63" s="11">
        <f t="shared" si="3"/>
        <v>480</v>
      </c>
      <c r="F63" s="11">
        <v>4</v>
      </c>
      <c r="G63" s="31">
        <v>1</v>
      </c>
      <c r="H63" s="11">
        <v>58</v>
      </c>
      <c r="I63" s="60">
        <f t="shared" si="2"/>
        <v>5.8000000000000003E-2</v>
      </c>
    </row>
    <row r="64" spans="2:9" x14ac:dyDescent="0.2">
      <c r="B64" s="11">
        <v>10058</v>
      </c>
      <c r="C64" s="11">
        <v>59</v>
      </c>
      <c r="D64" s="11">
        <v>60000</v>
      </c>
      <c r="E64" s="11">
        <f t="shared" si="3"/>
        <v>490</v>
      </c>
      <c r="F64" s="11">
        <v>4</v>
      </c>
      <c r="G64" s="31">
        <v>1</v>
      </c>
      <c r="H64" s="11">
        <v>59</v>
      </c>
      <c r="I64" s="60">
        <f t="shared" si="2"/>
        <v>5.8999999999999997E-2</v>
      </c>
    </row>
    <row r="65" spans="2:9" x14ac:dyDescent="0.2">
      <c r="B65" s="11">
        <v>10059</v>
      </c>
      <c r="C65" s="11">
        <v>60</v>
      </c>
      <c r="D65" s="11">
        <v>60000</v>
      </c>
      <c r="E65" s="11">
        <f t="shared" si="3"/>
        <v>500</v>
      </c>
      <c r="F65" s="11">
        <v>5</v>
      </c>
      <c r="G65" s="31">
        <v>1</v>
      </c>
      <c r="H65" s="11">
        <v>60</v>
      </c>
      <c r="I65" s="60">
        <f t="shared" si="2"/>
        <v>0.06</v>
      </c>
    </row>
    <row r="66" spans="2:9" x14ac:dyDescent="0.2">
      <c r="B66" s="11">
        <v>10060</v>
      </c>
      <c r="C66" s="11">
        <v>61</v>
      </c>
      <c r="D66" s="11">
        <v>60000</v>
      </c>
      <c r="E66" s="11">
        <f t="shared" si="3"/>
        <v>510</v>
      </c>
      <c r="F66" s="11">
        <v>5</v>
      </c>
      <c r="G66" s="31">
        <v>1</v>
      </c>
      <c r="H66" s="11">
        <v>61</v>
      </c>
      <c r="I66" s="60">
        <f t="shared" si="2"/>
        <v>6.0999999999999999E-2</v>
      </c>
    </row>
    <row r="67" spans="2:9" x14ac:dyDescent="0.2">
      <c r="B67" s="11">
        <v>10061</v>
      </c>
      <c r="C67" s="11">
        <v>62</v>
      </c>
      <c r="D67" s="11">
        <v>60000</v>
      </c>
      <c r="E67" s="11">
        <f t="shared" si="3"/>
        <v>520</v>
      </c>
      <c r="F67" s="11">
        <v>5</v>
      </c>
      <c r="G67" s="31">
        <v>1</v>
      </c>
      <c r="H67" s="11">
        <v>62</v>
      </c>
      <c r="I67" s="60">
        <f t="shared" si="2"/>
        <v>6.2E-2</v>
      </c>
    </row>
    <row r="68" spans="2:9" x14ac:dyDescent="0.2">
      <c r="B68" s="11">
        <v>10062</v>
      </c>
      <c r="C68" s="11">
        <v>63</v>
      </c>
      <c r="D68" s="11">
        <v>60000</v>
      </c>
      <c r="E68" s="11">
        <f t="shared" si="3"/>
        <v>530</v>
      </c>
      <c r="F68" s="11">
        <v>5</v>
      </c>
      <c r="G68" s="31">
        <v>1</v>
      </c>
      <c r="H68" s="11">
        <v>63</v>
      </c>
      <c r="I68" s="60">
        <f t="shared" si="2"/>
        <v>6.3E-2</v>
      </c>
    </row>
    <row r="69" spans="2:9" x14ac:dyDescent="0.2">
      <c r="B69" s="11">
        <v>10063</v>
      </c>
      <c r="C69" s="11">
        <v>64</v>
      </c>
      <c r="D69" s="11">
        <v>60000</v>
      </c>
      <c r="E69" s="11">
        <f t="shared" si="3"/>
        <v>540</v>
      </c>
      <c r="F69" s="11">
        <v>5</v>
      </c>
      <c r="G69" s="31">
        <v>1</v>
      </c>
      <c r="H69" s="11">
        <v>64</v>
      </c>
      <c r="I69" s="60">
        <f t="shared" si="2"/>
        <v>6.4000000000000001E-2</v>
      </c>
    </row>
    <row r="70" spans="2:9" x14ac:dyDescent="0.2">
      <c r="B70" s="11">
        <v>10064</v>
      </c>
      <c r="C70" s="11">
        <v>65</v>
      </c>
      <c r="D70" s="11">
        <v>60000</v>
      </c>
      <c r="E70" s="11">
        <f t="shared" si="3"/>
        <v>550</v>
      </c>
      <c r="F70" s="11">
        <v>5</v>
      </c>
      <c r="G70" s="31">
        <v>1</v>
      </c>
      <c r="H70" s="11">
        <v>65</v>
      </c>
      <c r="I70" s="60">
        <f t="shared" si="2"/>
        <v>6.5000000000000002E-2</v>
      </c>
    </row>
    <row r="71" spans="2:9" x14ac:dyDescent="0.2">
      <c r="B71" s="11">
        <v>10065</v>
      </c>
      <c r="C71" s="11">
        <v>66</v>
      </c>
      <c r="D71" s="11">
        <v>60000</v>
      </c>
      <c r="E71" s="11">
        <f t="shared" si="3"/>
        <v>560</v>
      </c>
      <c r="F71" s="11">
        <v>5</v>
      </c>
      <c r="G71" s="31">
        <v>1</v>
      </c>
      <c r="H71" s="11">
        <v>66</v>
      </c>
      <c r="I71" s="60">
        <f t="shared" ref="I71:I105" si="4">H71/1000</f>
        <v>6.6000000000000003E-2</v>
      </c>
    </row>
    <row r="72" spans="2:9" x14ac:dyDescent="0.2">
      <c r="B72" s="11">
        <v>10066</v>
      </c>
      <c r="C72" s="11">
        <v>67</v>
      </c>
      <c r="D72" s="11">
        <v>60000</v>
      </c>
      <c r="E72" s="11">
        <f t="shared" si="3"/>
        <v>570</v>
      </c>
      <c r="F72" s="11">
        <v>5</v>
      </c>
      <c r="G72" s="31">
        <v>1</v>
      </c>
      <c r="H72" s="11">
        <v>67</v>
      </c>
      <c r="I72" s="60">
        <f t="shared" si="4"/>
        <v>6.7000000000000004E-2</v>
      </c>
    </row>
    <row r="73" spans="2:9" x14ac:dyDescent="0.2">
      <c r="B73" s="11">
        <v>10067</v>
      </c>
      <c r="C73" s="11">
        <v>68</v>
      </c>
      <c r="D73" s="11">
        <v>60000</v>
      </c>
      <c r="E73" s="11">
        <f t="shared" si="3"/>
        <v>580</v>
      </c>
      <c r="F73" s="11">
        <v>5</v>
      </c>
      <c r="G73" s="31">
        <v>1</v>
      </c>
      <c r="H73" s="11">
        <v>68</v>
      </c>
      <c r="I73" s="60">
        <f t="shared" si="4"/>
        <v>6.8000000000000005E-2</v>
      </c>
    </row>
    <row r="74" spans="2:9" x14ac:dyDescent="0.2">
      <c r="B74" s="11">
        <v>10068</v>
      </c>
      <c r="C74" s="11">
        <v>69</v>
      </c>
      <c r="D74" s="11">
        <v>70000</v>
      </c>
      <c r="E74" s="11">
        <f t="shared" si="3"/>
        <v>590</v>
      </c>
      <c r="F74" s="11">
        <v>5</v>
      </c>
      <c r="G74" s="31">
        <v>1</v>
      </c>
      <c r="H74" s="11">
        <v>69</v>
      </c>
      <c r="I74" s="60">
        <f t="shared" si="4"/>
        <v>6.9000000000000006E-2</v>
      </c>
    </row>
    <row r="75" spans="2:9" x14ac:dyDescent="0.2">
      <c r="B75" s="11">
        <v>10069</v>
      </c>
      <c r="C75" s="11">
        <v>70</v>
      </c>
      <c r="D75" s="11">
        <v>70000</v>
      </c>
      <c r="E75" s="11">
        <f t="shared" si="3"/>
        <v>600</v>
      </c>
      <c r="F75" s="11">
        <v>5</v>
      </c>
      <c r="G75" s="31">
        <v>1</v>
      </c>
      <c r="H75" s="11">
        <v>70</v>
      </c>
      <c r="I75" s="60">
        <f t="shared" si="4"/>
        <v>7.0000000000000007E-2</v>
      </c>
    </row>
    <row r="76" spans="2:9" x14ac:dyDescent="0.2">
      <c r="B76" s="11">
        <v>10070</v>
      </c>
      <c r="C76" s="11">
        <v>71</v>
      </c>
      <c r="D76" s="11">
        <v>70000</v>
      </c>
      <c r="E76" s="11">
        <f t="shared" si="3"/>
        <v>610</v>
      </c>
      <c r="F76" s="11">
        <v>5</v>
      </c>
      <c r="G76" s="31">
        <v>1</v>
      </c>
      <c r="H76" s="11">
        <v>71</v>
      </c>
      <c r="I76" s="60">
        <f t="shared" si="4"/>
        <v>7.0999999999999994E-2</v>
      </c>
    </row>
    <row r="77" spans="2:9" x14ac:dyDescent="0.2">
      <c r="B77" s="11">
        <v>10071</v>
      </c>
      <c r="C77" s="11">
        <v>72</v>
      </c>
      <c r="D77" s="11">
        <v>70000</v>
      </c>
      <c r="E77" s="11">
        <f t="shared" si="3"/>
        <v>620</v>
      </c>
      <c r="F77" s="11">
        <v>5</v>
      </c>
      <c r="G77" s="31">
        <v>1</v>
      </c>
      <c r="H77" s="11">
        <v>72</v>
      </c>
      <c r="I77" s="60">
        <f t="shared" si="4"/>
        <v>7.1999999999999995E-2</v>
      </c>
    </row>
    <row r="78" spans="2:9" x14ac:dyDescent="0.2">
      <c r="B78" s="11">
        <v>10072</v>
      </c>
      <c r="C78" s="11">
        <v>73</v>
      </c>
      <c r="D78" s="11">
        <v>70000</v>
      </c>
      <c r="E78" s="11">
        <f t="shared" si="3"/>
        <v>630</v>
      </c>
      <c r="F78" s="11">
        <v>5</v>
      </c>
      <c r="G78" s="31">
        <v>1</v>
      </c>
      <c r="H78" s="11">
        <v>73</v>
      </c>
      <c r="I78" s="60">
        <f t="shared" si="4"/>
        <v>7.2999999999999995E-2</v>
      </c>
    </row>
    <row r="79" spans="2:9" x14ac:dyDescent="0.2">
      <c r="B79" s="11">
        <v>10073</v>
      </c>
      <c r="C79" s="11">
        <v>74</v>
      </c>
      <c r="D79" s="11">
        <v>70000</v>
      </c>
      <c r="E79" s="11">
        <f t="shared" si="3"/>
        <v>640</v>
      </c>
      <c r="F79" s="11">
        <v>5</v>
      </c>
      <c r="G79" s="31">
        <v>1</v>
      </c>
      <c r="H79" s="11">
        <v>74</v>
      </c>
      <c r="I79" s="60">
        <f t="shared" si="4"/>
        <v>7.3999999999999996E-2</v>
      </c>
    </row>
    <row r="80" spans="2:9" x14ac:dyDescent="0.2">
      <c r="B80" s="11">
        <v>10074</v>
      </c>
      <c r="C80" s="11">
        <v>75</v>
      </c>
      <c r="D80" s="11">
        <v>70000</v>
      </c>
      <c r="E80" s="11">
        <f t="shared" si="3"/>
        <v>650</v>
      </c>
      <c r="F80" s="11">
        <v>5</v>
      </c>
      <c r="G80" s="31">
        <v>1</v>
      </c>
      <c r="H80" s="11">
        <v>75</v>
      </c>
      <c r="I80" s="60">
        <f t="shared" si="4"/>
        <v>7.4999999999999997E-2</v>
      </c>
    </row>
    <row r="81" spans="2:9" x14ac:dyDescent="0.2">
      <c r="B81" s="11">
        <v>10075</v>
      </c>
      <c r="C81" s="11">
        <v>76</v>
      </c>
      <c r="D81" s="11">
        <v>70000</v>
      </c>
      <c r="E81" s="11">
        <f t="shared" si="3"/>
        <v>660</v>
      </c>
      <c r="F81" s="11">
        <v>5</v>
      </c>
      <c r="G81" s="31">
        <v>1</v>
      </c>
      <c r="H81" s="11">
        <v>76</v>
      </c>
      <c r="I81" s="60">
        <f t="shared" si="4"/>
        <v>7.5999999999999998E-2</v>
      </c>
    </row>
    <row r="82" spans="2:9" x14ac:dyDescent="0.2">
      <c r="B82" s="11">
        <v>10076</v>
      </c>
      <c r="C82" s="11">
        <v>77</v>
      </c>
      <c r="D82" s="11">
        <v>70000</v>
      </c>
      <c r="E82" s="11">
        <f t="shared" si="3"/>
        <v>670</v>
      </c>
      <c r="F82" s="11">
        <v>5</v>
      </c>
      <c r="G82" s="31">
        <v>1</v>
      </c>
      <c r="H82" s="11">
        <v>77</v>
      </c>
      <c r="I82" s="60">
        <f t="shared" si="4"/>
        <v>7.6999999999999999E-2</v>
      </c>
    </row>
    <row r="83" spans="2:9" x14ac:dyDescent="0.2">
      <c r="B83" s="11">
        <v>10077</v>
      </c>
      <c r="C83" s="11">
        <v>78</v>
      </c>
      <c r="D83" s="11">
        <v>70000</v>
      </c>
      <c r="E83" s="11">
        <f t="shared" si="3"/>
        <v>680</v>
      </c>
      <c r="F83" s="11">
        <v>5</v>
      </c>
      <c r="G83" s="31">
        <v>1</v>
      </c>
      <c r="H83" s="11">
        <v>78</v>
      </c>
      <c r="I83" s="60">
        <f t="shared" si="4"/>
        <v>7.8E-2</v>
      </c>
    </row>
    <row r="84" spans="2:9" x14ac:dyDescent="0.2">
      <c r="B84" s="11">
        <v>10078</v>
      </c>
      <c r="C84" s="11">
        <v>79</v>
      </c>
      <c r="D84" s="11">
        <v>80000</v>
      </c>
      <c r="E84" s="11">
        <f t="shared" si="3"/>
        <v>690</v>
      </c>
      <c r="F84" s="11">
        <v>5</v>
      </c>
      <c r="G84" s="31">
        <v>1</v>
      </c>
      <c r="H84" s="11">
        <v>79</v>
      </c>
      <c r="I84" s="60">
        <f t="shared" si="4"/>
        <v>7.9000000000000001E-2</v>
      </c>
    </row>
    <row r="85" spans="2:9" x14ac:dyDescent="0.2">
      <c r="B85" s="11">
        <v>10079</v>
      </c>
      <c r="C85" s="11">
        <v>80</v>
      </c>
      <c r="D85" s="11">
        <v>80000</v>
      </c>
      <c r="E85" s="11">
        <f t="shared" si="3"/>
        <v>700</v>
      </c>
      <c r="F85" s="1">
        <v>6</v>
      </c>
      <c r="G85" s="31">
        <v>1</v>
      </c>
      <c r="H85" s="11">
        <v>80</v>
      </c>
      <c r="I85" s="60">
        <f t="shared" si="4"/>
        <v>0.08</v>
      </c>
    </row>
    <row r="86" spans="2:9" x14ac:dyDescent="0.2">
      <c r="B86" s="11">
        <v>10080</v>
      </c>
      <c r="C86" s="11">
        <v>81</v>
      </c>
      <c r="D86" s="11">
        <v>80000</v>
      </c>
      <c r="E86" s="11">
        <f t="shared" si="3"/>
        <v>710</v>
      </c>
      <c r="F86" s="1">
        <v>6</v>
      </c>
      <c r="G86" s="31">
        <v>1</v>
      </c>
      <c r="H86" s="11">
        <v>81</v>
      </c>
      <c r="I86" s="60">
        <f t="shared" si="4"/>
        <v>8.1000000000000003E-2</v>
      </c>
    </row>
    <row r="87" spans="2:9" x14ac:dyDescent="0.2">
      <c r="B87" s="11">
        <v>10081</v>
      </c>
      <c r="C87" s="11">
        <v>82</v>
      </c>
      <c r="D87" s="11">
        <v>80000</v>
      </c>
      <c r="E87" s="11">
        <f t="shared" si="3"/>
        <v>720</v>
      </c>
      <c r="F87" s="1">
        <v>6</v>
      </c>
      <c r="G87" s="31">
        <v>1</v>
      </c>
      <c r="H87" s="11">
        <v>82</v>
      </c>
      <c r="I87" s="60">
        <f t="shared" si="4"/>
        <v>8.2000000000000003E-2</v>
      </c>
    </row>
    <row r="88" spans="2:9" x14ac:dyDescent="0.2">
      <c r="B88" s="11">
        <v>10082</v>
      </c>
      <c r="C88" s="11">
        <v>83</v>
      </c>
      <c r="D88" s="11">
        <v>80000</v>
      </c>
      <c r="E88" s="11">
        <f t="shared" si="3"/>
        <v>730</v>
      </c>
      <c r="F88" s="1">
        <v>6</v>
      </c>
      <c r="G88" s="31">
        <v>1</v>
      </c>
      <c r="H88" s="11">
        <v>83</v>
      </c>
      <c r="I88" s="60">
        <f t="shared" si="4"/>
        <v>8.3000000000000004E-2</v>
      </c>
    </row>
    <row r="89" spans="2:9" x14ac:dyDescent="0.2">
      <c r="B89" s="11">
        <v>10083</v>
      </c>
      <c r="C89" s="11">
        <v>84</v>
      </c>
      <c r="D89" s="11">
        <v>80000</v>
      </c>
      <c r="E89" s="11">
        <f t="shared" si="3"/>
        <v>740</v>
      </c>
      <c r="F89" s="1">
        <v>6</v>
      </c>
      <c r="G89" s="31">
        <v>1</v>
      </c>
      <c r="H89" s="11">
        <v>84</v>
      </c>
      <c r="I89" s="60">
        <f t="shared" si="4"/>
        <v>8.4000000000000005E-2</v>
      </c>
    </row>
    <row r="90" spans="2:9" x14ac:dyDescent="0.2">
      <c r="B90" s="11">
        <v>10084</v>
      </c>
      <c r="C90" s="11">
        <v>85</v>
      </c>
      <c r="D90" s="11">
        <v>80000</v>
      </c>
      <c r="E90" s="11">
        <f t="shared" si="3"/>
        <v>750</v>
      </c>
      <c r="F90" s="1">
        <v>6</v>
      </c>
      <c r="G90" s="31">
        <v>1</v>
      </c>
      <c r="H90" s="11">
        <v>85</v>
      </c>
      <c r="I90" s="60">
        <f t="shared" si="4"/>
        <v>8.5000000000000006E-2</v>
      </c>
    </row>
    <row r="91" spans="2:9" x14ac:dyDescent="0.2">
      <c r="B91" s="11">
        <v>10085</v>
      </c>
      <c r="C91" s="11">
        <v>86</v>
      </c>
      <c r="D91" s="11">
        <v>80000</v>
      </c>
      <c r="E91" s="11">
        <f t="shared" si="3"/>
        <v>760</v>
      </c>
      <c r="F91" s="1">
        <v>6</v>
      </c>
      <c r="G91" s="31">
        <v>1</v>
      </c>
      <c r="H91" s="11">
        <v>86</v>
      </c>
      <c r="I91" s="60">
        <f t="shared" si="4"/>
        <v>8.5999999999999993E-2</v>
      </c>
    </row>
    <row r="92" spans="2:9" x14ac:dyDescent="0.2">
      <c r="B92" s="11">
        <v>10086</v>
      </c>
      <c r="C92" s="11">
        <v>87</v>
      </c>
      <c r="D92" s="11">
        <v>80000</v>
      </c>
      <c r="E92" s="11">
        <f t="shared" si="3"/>
        <v>770</v>
      </c>
      <c r="F92" s="1">
        <v>6</v>
      </c>
      <c r="G92" s="31">
        <v>1</v>
      </c>
      <c r="H92" s="11">
        <v>87</v>
      </c>
      <c r="I92" s="60">
        <f t="shared" si="4"/>
        <v>8.6999999999999994E-2</v>
      </c>
    </row>
    <row r="93" spans="2:9" x14ac:dyDescent="0.2">
      <c r="B93" s="11">
        <v>10087</v>
      </c>
      <c r="C93" s="11">
        <v>88</v>
      </c>
      <c r="D93" s="11">
        <v>80000</v>
      </c>
      <c r="E93" s="11">
        <f t="shared" si="3"/>
        <v>780</v>
      </c>
      <c r="F93" s="1">
        <v>6</v>
      </c>
      <c r="G93" s="31">
        <v>1</v>
      </c>
      <c r="H93" s="11">
        <v>88</v>
      </c>
      <c r="I93" s="60">
        <f t="shared" si="4"/>
        <v>8.7999999999999995E-2</v>
      </c>
    </row>
    <row r="94" spans="2:9" x14ac:dyDescent="0.2">
      <c r="B94" s="11">
        <v>10088</v>
      </c>
      <c r="C94" s="11">
        <v>89</v>
      </c>
      <c r="D94" s="11">
        <v>90000</v>
      </c>
      <c r="E94" s="11">
        <f t="shared" si="3"/>
        <v>790</v>
      </c>
      <c r="F94" s="1">
        <v>6</v>
      </c>
      <c r="G94" s="31">
        <v>1</v>
      </c>
      <c r="H94" s="11">
        <v>89</v>
      </c>
      <c r="I94" s="60">
        <f t="shared" si="4"/>
        <v>8.8999999999999996E-2</v>
      </c>
    </row>
    <row r="95" spans="2:9" x14ac:dyDescent="0.2">
      <c r="B95" s="11">
        <v>10089</v>
      </c>
      <c r="C95" s="11">
        <v>90</v>
      </c>
      <c r="D95" s="11">
        <v>90000</v>
      </c>
      <c r="E95" s="11">
        <f t="shared" si="3"/>
        <v>800</v>
      </c>
      <c r="F95" s="1">
        <v>6</v>
      </c>
      <c r="G95" s="31">
        <v>1</v>
      </c>
      <c r="H95" s="11">
        <v>90</v>
      </c>
      <c r="I95" s="60">
        <f t="shared" si="4"/>
        <v>0.09</v>
      </c>
    </row>
    <row r="96" spans="2:9" x14ac:dyDescent="0.2">
      <c r="B96" s="11">
        <v>10090</v>
      </c>
      <c r="C96" s="11">
        <v>91</v>
      </c>
      <c r="D96" s="11">
        <v>90000</v>
      </c>
      <c r="E96" s="11">
        <f t="shared" si="3"/>
        <v>810</v>
      </c>
      <c r="F96" s="1">
        <v>6</v>
      </c>
      <c r="G96" s="31">
        <v>1</v>
      </c>
      <c r="H96" s="11">
        <v>91</v>
      </c>
      <c r="I96" s="60">
        <f t="shared" si="4"/>
        <v>9.0999999999999998E-2</v>
      </c>
    </row>
    <row r="97" spans="2:9" x14ac:dyDescent="0.2">
      <c r="B97" s="11">
        <v>10091</v>
      </c>
      <c r="C97" s="11">
        <v>92</v>
      </c>
      <c r="D97" s="11">
        <v>90000</v>
      </c>
      <c r="E97" s="11">
        <f t="shared" si="3"/>
        <v>820</v>
      </c>
      <c r="F97" s="1">
        <v>6</v>
      </c>
      <c r="G97" s="31">
        <v>1</v>
      </c>
      <c r="H97" s="11">
        <v>92</v>
      </c>
      <c r="I97" s="60">
        <f t="shared" si="4"/>
        <v>9.1999999999999998E-2</v>
      </c>
    </row>
    <row r="98" spans="2:9" x14ac:dyDescent="0.2">
      <c r="B98" s="11">
        <v>10092</v>
      </c>
      <c r="C98" s="11">
        <v>93</v>
      </c>
      <c r="D98" s="11">
        <v>90000</v>
      </c>
      <c r="E98" s="11">
        <f t="shared" si="3"/>
        <v>830</v>
      </c>
      <c r="F98" s="1">
        <v>6</v>
      </c>
      <c r="G98" s="31">
        <v>1</v>
      </c>
      <c r="H98" s="11">
        <v>93</v>
      </c>
      <c r="I98" s="60">
        <f t="shared" si="4"/>
        <v>9.2999999999999999E-2</v>
      </c>
    </row>
    <row r="99" spans="2:9" x14ac:dyDescent="0.2">
      <c r="B99" s="11">
        <v>10093</v>
      </c>
      <c r="C99" s="11">
        <v>94</v>
      </c>
      <c r="D99" s="11">
        <v>90000</v>
      </c>
      <c r="E99" s="11">
        <f t="shared" si="3"/>
        <v>840</v>
      </c>
      <c r="F99" s="1">
        <v>6</v>
      </c>
      <c r="G99" s="31">
        <v>1</v>
      </c>
      <c r="H99" s="11">
        <v>94</v>
      </c>
      <c r="I99" s="60">
        <f t="shared" si="4"/>
        <v>9.4E-2</v>
      </c>
    </row>
    <row r="100" spans="2:9" x14ac:dyDescent="0.2">
      <c r="B100" s="11">
        <v>10094</v>
      </c>
      <c r="C100" s="11">
        <v>95</v>
      </c>
      <c r="D100" s="11">
        <v>90000</v>
      </c>
      <c r="E100" s="11">
        <f t="shared" si="3"/>
        <v>850</v>
      </c>
      <c r="F100" s="1">
        <v>6</v>
      </c>
      <c r="G100" s="31">
        <v>1</v>
      </c>
      <c r="H100" s="11">
        <v>95</v>
      </c>
      <c r="I100" s="60">
        <f t="shared" si="4"/>
        <v>9.5000000000000001E-2</v>
      </c>
    </row>
    <row r="101" spans="2:9" x14ac:dyDescent="0.2">
      <c r="B101" s="11">
        <v>10095</v>
      </c>
      <c r="C101" s="11">
        <v>96</v>
      </c>
      <c r="D101" s="11">
        <v>90000</v>
      </c>
      <c r="E101" s="11">
        <f t="shared" si="3"/>
        <v>860</v>
      </c>
      <c r="F101" s="1">
        <v>6</v>
      </c>
      <c r="G101" s="31">
        <v>1</v>
      </c>
      <c r="H101" s="11">
        <v>96</v>
      </c>
      <c r="I101" s="60">
        <f t="shared" si="4"/>
        <v>9.6000000000000002E-2</v>
      </c>
    </row>
    <row r="102" spans="2:9" x14ac:dyDescent="0.2">
      <c r="B102" s="11">
        <v>10096</v>
      </c>
      <c r="C102" s="11">
        <v>97</v>
      </c>
      <c r="D102" s="11">
        <v>90000</v>
      </c>
      <c r="E102" s="11">
        <f t="shared" si="3"/>
        <v>870</v>
      </c>
      <c r="F102" s="1">
        <v>6</v>
      </c>
      <c r="G102" s="31">
        <v>1</v>
      </c>
      <c r="H102" s="11">
        <v>97</v>
      </c>
      <c r="I102" s="60">
        <f t="shared" si="4"/>
        <v>9.7000000000000003E-2</v>
      </c>
    </row>
    <row r="103" spans="2:9" x14ac:dyDescent="0.2">
      <c r="B103" s="11">
        <v>10097</v>
      </c>
      <c r="C103" s="11">
        <v>98</v>
      </c>
      <c r="D103" s="11">
        <v>90000</v>
      </c>
      <c r="E103" s="11">
        <f t="shared" si="3"/>
        <v>880</v>
      </c>
      <c r="F103" s="1">
        <v>6</v>
      </c>
      <c r="G103" s="31">
        <v>1</v>
      </c>
      <c r="H103" s="11">
        <v>98</v>
      </c>
      <c r="I103" s="60">
        <f t="shared" si="4"/>
        <v>9.8000000000000004E-2</v>
      </c>
    </row>
    <row r="104" spans="2:9" x14ac:dyDescent="0.2">
      <c r="B104" s="11">
        <v>10098</v>
      </c>
      <c r="C104" s="11">
        <v>99</v>
      </c>
      <c r="D104" s="11">
        <v>100000</v>
      </c>
      <c r="E104" s="11">
        <v>900</v>
      </c>
      <c r="F104" s="1">
        <v>6</v>
      </c>
      <c r="G104" s="31">
        <v>1</v>
      </c>
      <c r="H104" s="11">
        <v>99</v>
      </c>
      <c r="I104" s="60">
        <f t="shared" si="4"/>
        <v>9.9000000000000005E-2</v>
      </c>
    </row>
    <row r="105" spans="2:9" x14ac:dyDescent="0.2">
      <c r="B105" s="11">
        <v>10099</v>
      </c>
      <c r="C105" s="11">
        <v>100</v>
      </c>
      <c r="D105" s="11"/>
      <c r="E105" s="11"/>
      <c r="F105" s="1">
        <v>6</v>
      </c>
      <c r="G105" s="31">
        <v>1</v>
      </c>
      <c r="H105" s="11">
        <v>100</v>
      </c>
      <c r="I105" s="60">
        <f t="shared" si="4"/>
        <v>0.1</v>
      </c>
    </row>
    <row r="106" spans="2:9" x14ac:dyDescent="0.2">
      <c r="B106" s="11"/>
    </row>
  </sheetData>
  <phoneticPr fontId="12" type="noConversion"/>
  <pageMargins left="0.7" right="0.7" top="0.75" bottom="0.75" header="0.3" footer="0.3"/>
  <pageSetup paperSize="9" orientation="portrait"/>
  <legacy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F8"/>
  <sheetViews>
    <sheetView workbookViewId="0">
      <selection sqref="A1:XFD1048576"/>
    </sheetView>
  </sheetViews>
  <sheetFormatPr defaultColWidth="9" defaultRowHeight="14.25" x14ac:dyDescent="0.2"/>
  <cols>
    <col min="1" max="16384" width="9" style="57"/>
  </cols>
  <sheetData>
    <row r="1" spans="1:6" x14ac:dyDescent="0.2">
      <c r="A1" s="58" t="s">
        <v>0</v>
      </c>
      <c r="B1" s="31" t="s">
        <v>1</v>
      </c>
      <c r="C1" s="31" t="s">
        <v>52</v>
      </c>
      <c r="D1" s="31" t="s">
        <v>249</v>
      </c>
      <c r="E1" s="31" t="s">
        <v>250</v>
      </c>
      <c r="F1" s="31" t="s">
        <v>251</v>
      </c>
    </row>
    <row r="2" spans="1:6" x14ac:dyDescent="0.2">
      <c r="A2" s="58" t="s">
        <v>0</v>
      </c>
      <c r="B2" s="58"/>
      <c r="C2" s="58"/>
      <c r="D2" s="58"/>
      <c r="E2" s="58"/>
      <c r="F2" s="58"/>
    </row>
    <row r="3" spans="1:6" x14ac:dyDescent="0.2">
      <c r="A3" s="59" t="s">
        <v>6</v>
      </c>
      <c r="B3" s="31" t="s">
        <v>7</v>
      </c>
      <c r="C3" s="31" t="s">
        <v>7</v>
      </c>
      <c r="D3" s="31" t="s">
        <v>7</v>
      </c>
      <c r="E3" s="31" t="s">
        <v>7</v>
      </c>
      <c r="F3" s="31" t="s">
        <v>7</v>
      </c>
    </row>
    <row r="4" spans="1:6" x14ac:dyDescent="0.2">
      <c r="A4" s="59" t="s">
        <v>9</v>
      </c>
      <c r="B4" s="59" t="s">
        <v>57</v>
      </c>
      <c r="C4" s="59" t="s">
        <v>57</v>
      </c>
      <c r="D4" s="59" t="s">
        <v>57</v>
      </c>
      <c r="E4" s="59" t="s">
        <v>57</v>
      </c>
      <c r="F4" s="59" t="s">
        <v>57</v>
      </c>
    </row>
    <row r="5" spans="1:6" x14ac:dyDescent="0.2">
      <c r="A5" s="58" t="s">
        <v>10</v>
      </c>
      <c r="B5" s="31" t="s">
        <v>48</v>
      </c>
      <c r="C5" s="31" t="s">
        <v>252</v>
      </c>
      <c r="D5" s="31" t="s">
        <v>253</v>
      </c>
      <c r="E5" s="31" t="s">
        <v>254</v>
      </c>
      <c r="F5" s="31" t="s">
        <v>255</v>
      </c>
    </row>
    <row r="6" spans="1:6" x14ac:dyDescent="0.2">
      <c r="B6" s="31">
        <v>100</v>
      </c>
      <c r="C6" s="31">
        <v>1</v>
      </c>
      <c r="D6" s="31">
        <v>10</v>
      </c>
      <c r="E6" s="31">
        <v>10</v>
      </c>
      <c r="F6" s="31">
        <v>500</v>
      </c>
    </row>
    <row r="7" spans="1:6" x14ac:dyDescent="0.2">
      <c r="B7" s="31">
        <v>101</v>
      </c>
      <c r="C7" s="31">
        <v>2</v>
      </c>
      <c r="D7" s="31">
        <v>5</v>
      </c>
      <c r="E7" s="31">
        <v>1000</v>
      </c>
      <c r="F7" s="31">
        <v>30</v>
      </c>
    </row>
    <row r="8" spans="1:6" x14ac:dyDescent="0.2">
      <c r="B8" s="31">
        <v>102</v>
      </c>
      <c r="C8" s="31">
        <v>3</v>
      </c>
      <c r="D8" s="31">
        <v>1</v>
      </c>
      <c r="E8" s="31">
        <v>50000</v>
      </c>
      <c r="F8" s="31">
        <v>2</v>
      </c>
    </row>
  </sheetData>
  <phoneticPr fontId="12" type="noConversion"/>
  <pageMargins left="0.7" right="0.7" top="0.75" bottom="0.75" header="0.3" footer="0.3"/>
  <pageSetup paperSize="9" orientation="portrait"/>
  <legacy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D8"/>
  <sheetViews>
    <sheetView workbookViewId="0">
      <selection sqref="A1:XFD1048576"/>
    </sheetView>
  </sheetViews>
  <sheetFormatPr defaultColWidth="9" defaultRowHeight="14.25" x14ac:dyDescent="0.2"/>
  <cols>
    <col min="1" max="16384" width="9" style="57"/>
  </cols>
  <sheetData>
    <row r="1" spans="1:4" x14ac:dyDescent="0.2">
      <c r="A1" s="58" t="s">
        <v>0</v>
      </c>
      <c r="B1" s="31" t="s">
        <v>1</v>
      </c>
      <c r="C1" s="31" t="s">
        <v>52</v>
      </c>
      <c r="D1" s="31" t="s">
        <v>3</v>
      </c>
    </row>
    <row r="2" spans="1:4" x14ac:dyDescent="0.2">
      <c r="A2" s="58" t="s">
        <v>0</v>
      </c>
      <c r="B2" s="58"/>
      <c r="C2" s="58"/>
      <c r="D2" s="58"/>
    </row>
    <row r="3" spans="1:4" x14ac:dyDescent="0.2">
      <c r="A3" s="59" t="s">
        <v>6</v>
      </c>
      <c r="B3" s="59" t="s">
        <v>7</v>
      </c>
      <c r="C3" s="59" t="s">
        <v>7</v>
      </c>
      <c r="D3" s="59" t="s">
        <v>7</v>
      </c>
    </row>
    <row r="4" spans="1:4" x14ac:dyDescent="0.2">
      <c r="A4" s="59" t="s">
        <v>9</v>
      </c>
      <c r="B4" s="59"/>
      <c r="C4" s="59"/>
      <c r="D4" s="59"/>
    </row>
    <row r="5" spans="1:4" x14ac:dyDescent="0.2">
      <c r="A5" s="58" t="s">
        <v>10</v>
      </c>
      <c r="B5" s="31" t="s">
        <v>48</v>
      </c>
      <c r="C5" s="31" t="s">
        <v>256</v>
      </c>
      <c r="D5" s="31" t="s">
        <v>257</v>
      </c>
    </row>
    <row r="6" spans="1:4" x14ac:dyDescent="0.2">
      <c r="B6" s="31">
        <v>1000</v>
      </c>
      <c r="C6" s="31">
        <v>1</v>
      </c>
      <c r="D6" s="31">
        <v>10</v>
      </c>
    </row>
    <row r="7" spans="1:4" x14ac:dyDescent="0.2">
      <c r="B7" s="31">
        <v>1001</v>
      </c>
      <c r="C7" s="31">
        <v>2</v>
      </c>
      <c r="D7" s="31">
        <v>10000</v>
      </c>
    </row>
    <row r="8" spans="1:4" x14ac:dyDescent="0.2">
      <c r="B8" s="31">
        <v>1002</v>
      </c>
      <c r="C8" s="31">
        <v>3</v>
      </c>
      <c r="D8" s="31">
        <v>1000000</v>
      </c>
    </row>
  </sheetData>
  <phoneticPr fontId="12" type="noConversion"/>
  <pageMargins left="0.7" right="0.7" top="0.75" bottom="0.75" header="0.3" footer="0.3"/>
  <pageSetup paperSize="9" orientation="portrait"/>
  <legacy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F17"/>
  <sheetViews>
    <sheetView workbookViewId="0">
      <selection activeCell="I20" sqref="I20"/>
    </sheetView>
  </sheetViews>
  <sheetFormatPr defaultColWidth="9" defaultRowHeight="14.25" x14ac:dyDescent="0.2"/>
  <sheetData>
    <row r="1" spans="1:6" x14ac:dyDescent="0.2">
      <c r="A1" s="55" t="s">
        <v>0</v>
      </c>
      <c r="B1" s="55" t="s">
        <v>1</v>
      </c>
      <c r="C1" s="55" t="s">
        <v>52</v>
      </c>
      <c r="D1" s="55" t="s">
        <v>258</v>
      </c>
      <c r="E1" s="55" t="s">
        <v>3</v>
      </c>
      <c r="F1" s="55" t="s">
        <v>259</v>
      </c>
    </row>
    <row r="2" spans="1:6" x14ac:dyDescent="0.2">
      <c r="A2" s="55" t="s">
        <v>0</v>
      </c>
      <c r="B2" s="55"/>
      <c r="C2" s="55"/>
      <c r="D2" s="55"/>
      <c r="E2" s="55"/>
      <c r="F2" s="55"/>
    </row>
    <row r="3" spans="1:6" x14ac:dyDescent="0.2">
      <c r="A3" s="56" t="s">
        <v>6</v>
      </c>
      <c r="B3" s="56" t="s">
        <v>7</v>
      </c>
      <c r="C3" s="56" t="s">
        <v>7</v>
      </c>
      <c r="D3" s="56" t="s">
        <v>7</v>
      </c>
      <c r="E3" s="56" t="s">
        <v>7</v>
      </c>
      <c r="F3" s="56" t="s">
        <v>7</v>
      </c>
    </row>
    <row r="4" spans="1:6" x14ac:dyDescent="0.2">
      <c r="A4" s="56" t="s">
        <v>9</v>
      </c>
      <c r="B4" s="56"/>
      <c r="C4" s="56"/>
      <c r="D4" s="56"/>
      <c r="E4" s="56"/>
      <c r="F4" s="56"/>
    </row>
    <row r="5" spans="1:6" x14ac:dyDescent="0.2">
      <c r="A5" s="55" t="s">
        <v>10</v>
      </c>
      <c r="B5" s="55" t="s">
        <v>35</v>
      </c>
      <c r="C5" s="55" t="s">
        <v>256</v>
      </c>
      <c r="D5" s="55" t="s">
        <v>260</v>
      </c>
      <c r="E5" s="55" t="s">
        <v>261</v>
      </c>
      <c r="F5" s="55" t="s">
        <v>257</v>
      </c>
    </row>
    <row r="6" spans="1:6" x14ac:dyDescent="0.2">
      <c r="B6" s="11">
        <v>100000</v>
      </c>
      <c r="C6" s="11">
        <v>1</v>
      </c>
      <c r="D6" s="11">
        <v>1</v>
      </c>
      <c r="E6" s="11">
        <v>10002</v>
      </c>
      <c r="F6" s="11">
        <v>5000</v>
      </c>
    </row>
    <row r="7" spans="1:6" x14ac:dyDescent="0.2">
      <c r="B7" s="11">
        <v>100001</v>
      </c>
      <c r="C7" s="11">
        <v>1</v>
      </c>
      <c r="D7" s="11">
        <v>2</v>
      </c>
      <c r="E7" s="11">
        <v>10002</v>
      </c>
      <c r="F7" s="11">
        <v>6000</v>
      </c>
    </row>
    <row r="8" spans="1:6" x14ac:dyDescent="0.2">
      <c r="B8" s="11">
        <v>100002</v>
      </c>
      <c r="C8" s="11">
        <v>1</v>
      </c>
      <c r="D8" s="11">
        <v>3</v>
      </c>
      <c r="E8" s="11">
        <v>10002</v>
      </c>
      <c r="F8" s="11">
        <v>7000</v>
      </c>
    </row>
    <row r="9" spans="1:6" x14ac:dyDescent="0.2">
      <c r="B9" s="11">
        <v>100003</v>
      </c>
      <c r="C9" s="11">
        <v>1</v>
      </c>
      <c r="D9" s="11">
        <v>4</v>
      </c>
      <c r="E9" s="11">
        <v>10002</v>
      </c>
      <c r="F9" s="11">
        <v>8000</v>
      </c>
    </row>
    <row r="10" spans="1:6" x14ac:dyDescent="0.2">
      <c r="B10" s="11">
        <v>100004</v>
      </c>
      <c r="C10" s="11">
        <v>1</v>
      </c>
      <c r="D10" s="11">
        <v>5</v>
      </c>
      <c r="E10" s="11">
        <v>10002</v>
      </c>
      <c r="F10" s="11">
        <v>9000</v>
      </c>
    </row>
    <row r="11" spans="1:6" x14ac:dyDescent="0.2">
      <c r="B11" s="11">
        <v>100005</v>
      </c>
      <c r="C11" s="11">
        <v>1</v>
      </c>
      <c r="D11" s="11">
        <v>6</v>
      </c>
      <c r="E11" s="11">
        <v>10002</v>
      </c>
      <c r="F11" s="11">
        <v>10000</v>
      </c>
    </row>
    <row r="12" spans="1:6" x14ac:dyDescent="0.2">
      <c r="B12" s="11">
        <v>100006</v>
      </c>
      <c r="C12" s="11">
        <v>1</v>
      </c>
      <c r="D12" s="11">
        <v>7</v>
      </c>
      <c r="E12" s="11">
        <v>10002</v>
      </c>
      <c r="F12" s="11">
        <v>12000</v>
      </c>
    </row>
    <row r="13" spans="1:6" x14ac:dyDescent="0.2">
      <c r="B13" s="11">
        <v>200000</v>
      </c>
      <c r="C13" s="11">
        <v>0</v>
      </c>
      <c r="D13" s="11">
        <v>3</v>
      </c>
      <c r="E13" s="11">
        <v>2001</v>
      </c>
      <c r="F13" s="11">
        <v>5</v>
      </c>
    </row>
    <row r="14" spans="1:6" x14ac:dyDescent="0.2">
      <c r="B14" s="11">
        <v>200001</v>
      </c>
      <c r="C14" s="11">
        <v>0</v>
      </c>
      <c r="D14" s="11">
        <v>7</v>
      </c>
      <c r="E14" s="11">
        <v>2001</v>
      </c>
      <c r="F14" s="11">
        <v>5</v>
      </c>
    </row>
    <row r="15" spans="1:6" x14ac:dyDescent="0.2">
      <c r="B15" s="11">
        <v>200002</v>
      </c>
      <c r="C15" s="11">
        <v>0</v>
      </c>
      <c r="D15" s="11">
        <v>14</v>
      </c>
      <c r="E15" s="11">
        <v>2001</v>
      </c>
      <c r="F15" s="11">
        <v>5</v>
      </c>
    </row>
    <row r="16" spans="1:6" x14ac:dyDescent="0.2">
      <c r="B16" s="11">
        <v>200003</v>
      </c>
      <c r="C16" s="11">
        <v>0</v>
      </c>
      <c r="D16" s="11">
        <v>21</v>
      </c>
      <c r="E16" s="11">
        <v>2001</v>
      </c>
      <c r="F16" s="11">
        <v>5</v>
      </c>
    </row>
    <row r="17" spans="2:6" x14ac:dyDescent="0.2">
      <c r="B17" s="11">
        <v>200004</v>
      </c>
      <c r="C17" s="11">
        <v>0</v>
      </c>
      <c r="D17" s="11">
        <v>28</v>
      </c>
      <c r="E17" s="11">
        <v>2001</v>
      </c>
      <c r="F17" s="11">
        <v>10</v>
      </c>
    </row>
  </sheetData>
  <phoneticPr fontId="12" type="noConversion"/>
  <conditionalFormatting sqref="A1:E5">
    <cfRule type="duplicateValues" dxfId="4" priority="2"/>
  </conditionalFormatting>
  <conditionalFormatting sqref="F1:F5">
    <cfRule type="duplicateValues" dxfId="3" priority="1"/>
  </conditionalFormatting>
  <pageMargins left="0.7" right="0.7" top="0.75" bottom="0.75" header="0.3" footer="0.3"/>
  <pageSetup paperSize="9" orientation="portrait"/>
  <legacy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Q81"/>
  <sheetViews>
    <sheetView topLeftCell="A25" workbookViewId="0">
      <selection activeCell="R34" sqref="R34"/>
    </sheetView>
  </sheetViews>
  <sheetFormatPr defaultColWidth="9" defaultRowHeight="14.25" x14ac:dyDescent="0.2"/>
  <cols>
    <col min="1" max="1" width="9" style="40"/>
    <col min="2" max="2" width="9" style="1"/>
    <col min="3" max="3" width="37.375" style="1" customWidth="1"/>
    <col min="4" max="4" width="9" style="1"/>
    <col min="5" max="5" width="18.375" style="1" customWidth="1"/>
    <col min="6" max="14" width="9" style="1"/>
    <col min="15" max="15" width="12.625" style="1"/>
    <col min="16" max="17" width="9" style="1"/>
    <col min="18" max="18" width="26.125" style="1" customWidth="1"/>
    <col min="19" max="19" width="23.875" style="1" customWidth="1"/>
    <col min="20" max="20" width="28.875" style="1" customWidth="1"/>
    <col min="21" max="16384" width="9" style="1"/>
  </cols>
  <sheetData>
    <row r="1" spans="1:7" x14ac:dyDescent="0.2">
      <c r="A1" s="41" t="s">
        <v>0</v>
      </c>
      <c r="B1" s="3" t="s">
        <v>1</v>
      </c>
      <c r="C1" s="3" t="s">
        <v>262</v>
      </c>
      <c r="D1" s="3" t="s">
        <v>263</v>
      </c>
      <c r="E1" s="3" t="s">
        <v>32</v>
      </c>
      <c r="F1" s="3" t="s">
        <v>3</v>
      </c>
      <c r="G1" s="3" t="s">
        <v>249</v>
      </c>
    </row>
    <row r="2" spans="1:7" x14ac:dyDescent="0.2">
      <c r="A2" s="41" t="s">
        <v>0</v>
      </c>
      <c r="B2" s="2"/>
      <c r="C2" s="2"/>
      <c r="D2" s="2"/>
      <c r="E2" s="2"/>
      <c r="F2" s="2"/>
      <c r="G2" s="2"/>
    </row>
    <row r="3" spans="1:7" x14ac:dyDescent="0.2">
      <c r="A3" s="43" t="s">
        <v>6</v>
      </c>
      <c r="B3" s="3" t="s">
        <v>7</v>
      </c>
      <c r="C3" s="3" t="s">
        <v>8</v>
      </c>
      <c r="D3" s="3" t="s">
        <v>7</v>
      </c>
      <c r="E3" s="3" t="s">
        <v>47</v>
      </c>
      <c r="F3" s="3" t="s">
        <v>7</v>
      </c>
      <c r="G3" s="3" t="s">
        <v>7</v>
      </c>
    </row>
    <row r="4" spans="1:7" x14ac:dyDescent="0.2">
      <c r="A4" s="43" t="s">
        <v>9</v>
      </c>
      <c r="B4" s="5"/>
      <c r="C4" s="5" t="s">
        <v>57</v>
      </c>
      <c r="D4" s="5"/>
      <c r="E4" s="5"/>
      <c r="F4" s="5"/>
      <c r="G4" s="5"/>
    </row>
    <row r="5" spans="1:7" x14ac:dyDescent="0.2">
      <c r="A5" s="41" t="s">
        <v>10</v>
      </c>
      <c r="B5" s="3" t="s">
        <v>264</v>
      </c>
      <c r="C5" s="3" t="s">
        <v>265</v>
      </c>
      <c r="D5" s="14" t="s">
        <v>266</v>
      </c>
      <c r="E5" s="14" t="s">
        <v>267</v>
      </c>
      <c r="F5" s="14" t="s">
        <v>268</v>
      </c>
      <c r="G5" s="14" t="s">
        <v>257</v>
      </c>
    </row>
    <row r="6" spans="1:7" x14ac:dyDescent="0.2">
      <c r="B6" s="1">
        <v>1000000</v>
      </c>
      <c r="C6" s="1" t="s">
        <v>269</v>
      </c>
      <c r="D6" s="1">
        <v>1</v>
      </c>
      <c r="E6" s="1">
        <v>100</v>
      </c>
      <c r="F6" s="1">
        <v>10002</v>
      </c>
      <c r="G6" s="1">
        <v>200</v>
      </c>
    </row>
    <row r="7" spans="1:7" x14ac:dyDescent="0.2">
      <c r="B7" s="1">
        <v>1000001</v>
      </c>
      <c r="C7" s="1" t="s">
        <v>270</v>
      </c>
      <c r="D7" s="1">
        <v>1</v>
      </c>
      <c r="E7" s="1">
        <v>300</v>
      </c>
      <c r="F7" s="1">
        <v>10002</v>
      </c>
      <c r="G7" s="1">
        <f>G6+200</f>
        <v>400</v>
      </c>
    </row>
    <row r="8" spans="1:7" x14ac:dyDescent="0.2">
      <c r="B8" s="1">
        <v>1000002</v>
      </c>
      <c r="C8" s="1" t="s">
        <v>271</v>
      </c>
      <c r="D8" s="1">
        <v>1</v>
      </c>
      <c r="E8" s="1">
        <v>800</v>
      </c>
      <c r="F8" s="1">
        <v>10002</v>
      </c>
      <c r="G8" s="1">
        <f t="shared" ref="G8:G26" si="0">G7+200</f>
        <v>600</v>
      </c>
    </row>
    <row r="9" spans="1:7" x14ac:dyDescent="0.2">
      <c r="B9" s="1">
        <v>1000003</v>
      </c>
      <c r="C9" s="1" t="s">
        <v>272</v>
      </c>
      <c r="D9" s="1">
        <v>1</v>
      </c>
      <c r="E9" s="1">
        <v>1800</v>
      </c>
      <c r="F9" s="1">
        <v>10002</v>
      </c>
      <c r="G9" s="1">
        <f t="shared" si="0"/>
        <v>800</v>
      </c>
    </row>
    <row r="10" spans="1:7" x14ac:dyDescent="0.2">
      <c r="B10" s="1">
        <v>1000004</v>
      </c>
      <c r="C10" s="1" t="s">
        <v>273</v>
      </c>
      <c r="D10" s="1">
        <v>1</v>
      </c>
      <c r="E10" s="1">
        <v>4800</v>
      </c>
      <c r="F10" s="1">
        <v>10002</v>
      </c>
      <c r="G10" s="1">
        <f t="shared" si="0"/>
        <v>1000</v>
      </c>
    </row>
    <row r="11" spans="1:7" x14ac:dyDescent="0.2">
      <c r="B11" s="1">
        <v>1000005</v>
      </c>
      <c r="C11" s="1" t="s">
        <v>274</v>
      </c>
      <c r="D11" s="1">
        <v>1</v>
      </c>
      <c r="E11" s="1">
        <v>9800</v>
      </c>
      <c r="F11" s="1">
        <v>10002</v>
      </c>
      <c r="G11" s="1">
        <f t="shared" si="0"/>
        <v>1200</v>
      </c>
    </row>
    <row r="12" spans="1:7" x14ac:dyDescent="0.2">
      <c r="B12" s="1">
        <v>1000006</v>
      </c>
      <c r="C12" s="1" t="s">
        <v>275</v>
      </c>
      <c r="D12" s="1">
        <v>1</v>
      </c>
      <c r="E12" s="1">
        <v>15800</v>
      </c>
      <c r="F12" s="1">
        <v>10002</v>
      </c>
      <c r="G12" s="1">
        <f t="shared" si="0"/>
        <v>1400</v>
      </c>
    </row>
    <row r="13" spans="1:7" x14ac:dyDescent="0.2">
      <c r="B13" s="1">
        <v>1000007</v>
      </c>
      <c r="C13" s="1" t="s">
        <v>276</v>
      </c>
      <c r="D13" s="1">
        <v>1</v>
      </c>
      <c r="E13" s="1">
        <v>58800</v>
      </c>
      <c r="F13" s="1">
        <v>10002</v>
      </c>
      <c r="G13" s="1">
        <f t="shared" si="0"/>
        <v>1600</v>
      </c>
    </row>
    <row r="14" spans="1:7" x14ac:dyDescent="0.2">
      <c r="B14" s="1">
        <v>1000008</v>
      </c>
      <c r="C14" s="1" t="s">
        <v>277</v>
      </c>
      <c r="D14" s="1">
        <v>1</v>
      </c>
      <c r="E14" s="1">
        <v>128800</v>
      </c>
      <c r="F14" s="1">
        <v>10002</v>
      </c>
      <c r="G14" s="1">
        <f t="shared" si="0"/>
        <v>1800</v>
      </c>
    </row>
    <row r="15" spans="1:7" x14ac:dyDescent="0.2">
      <c r="B15" s="1">
        <v>1000009</v>
      </c>
      <c r="C15" s="1" t="s">
        <v>278</v>
      </c>
      <c r="D15" s="1">
        <v>1</v>
      </c>
      <c r="E15" s="1">
        <v>288000</v>
      </c>
      <c r="F15" s="1">
        <v>10002</v>
      </c>
      <c r="G15" s="1">
        <f t="shared" si="0"/>
        <v>2000</v>
      </c>
    </row>
    <row r="16" spans="1:7" x14ac:dyDescent="0.2">
      <c r="B16" s="1">
        <v>1000010</v>
      </c>
      <c r="C16" s="1" t="s">
        <v>279</v>
      </c>
      <c r="D16" s="1">
        <v>1</v>
      </c>
      <c r="E16" s="1">
        <v>488800</v>
      </c>
      <c r="F16" s="1">
        <v>10002</v>
      </c>
      <c r="G16" s="1">
        <f t="shared" si="0"/>
        <v>2200</v>
      </c>
    </row>
    <row r="17" spans="2:17" x14ac:dyDescent="0.2">
      <c r="B17" s="1">
        <v>1000011</v>
      </c>
      <c r="C17" s="1" t="s">
        <v>280</v>
      </c>
      <c r="D17" s="1">
        <v>1</v>
      </c>
      <c r="E17" s="1">
        <v>888888</v>
      </c>
      <c r="F17" s="1">
        <v>10002</v>
      </c>
      <c r="G17" s="1">
        <f t="shared" si="0"/>
        <v>2400</v>
      </c>
    </row>
    <row r="18" spans="2:17" x14ac:dyDescent="0.2">
      <c r="B18" s="1">
        <v>1000012</v>
      </c>
      <c r="C18" s="1" t="s">
        <v>281</v>
      </c>
      <c r="D18" s="1">
        <v>1</v>
      </c>
      <c r="E18" s="1">
        <v>1388888</v>
      </c>
      <c r="F18" s="1">
        <v>10002</v>
      </c>
      <c r="G18" s="1">
        <f t="shared" si="0"/>
        <v>2600</v>
      </c>
    </row>
    <row r="19" spans="2:17" x14ac:dyDescent="0.2">
      <c r="B19" s="1">
        <v>1000013</v>
      </c>
      <c r="C19" s="1" t="s">
        <v>282</v>
      </c>
      <c r="D19" s="1">
        <v>1</v>
      </c>
      <c r="E19" s="1">
        <v>1988888</v>
      </c>
      <c r="F19" s="1">
        <v>10002</v>
      </c>
      <c r="G19" s="1">
        <f t="shared" si="0"/>
        <v>2800</v>
      </c>
    </row>
    <row r="20" spans="2:17" x14ac:dyDescent="0.2">
      <c r="B20" s="1">
        <v>1000014</v>
      </c>
      <c r="C20" s="1" t="s">
        <v>283</v>
      </c>
      <c r="D20" s="1">
        <v>1</v>
      </c>
      <c r="E20" s="1">
        <v>2688888</v>
      </c>
      <c r="F20" s="1">
        <v>10002</v>
      </c>
      <c r="G20" s="1">
        <f t="shared" si="0"/>
        <v>3000</v>
      </c>
    </row>
    <row r="21" spans="2:17" x14ac:dyDescent="0.2">
      <c r="B21" s="1">
        <v>1000015</v>
      </c>
      <c r="C21" s="1" t="s">
        <v>284</v>
      </c>
      <c r="D21" s="1">
        <v>1</v>
      </c>
      <c r="E21" s="1">
        <v>3488888</v>
      </c>
      <c r="F21" s="1">
        <v>10002</v>
      </c>
      <c r="G21" s="1">
        <f t="shared" si="0"/>
        <v>3200</v>
      </c>
    </row>
    <row r="22" spans="2:17" x14ac:dyDescent="0.2">
      <c r="B22" s="1">
        <v>1000016</v>
      </c>
      <c r="C22" s="1" t="s">
        <v>285</v>
      </c>
      <c r="D22" s="1">
        <v>1</v>
      </c>
      <c r="E22" s="1">
        <v>4388888</v>
      </c>
      <c r="F22" s="1">
        <v>10002</v>
      </c>
      <c r="G22" s="1">
        <f t="shared" si="0"/>
        <v>3400</v>
      </c>
    </row>
    <row r="23" spans="2:17" x14ac:dyDescent="0.2">
      <c r="B23" s="1">
        <v>1000017</v>
      </c>
      <c r="C23" s="1" t="s">
        <v>286</v>
      </c>
      <c r="D23" s="1">
        <v>1</v>
      </c>
      <c r="E23" s="1">
        <v>5388888</v>
      </c>
      <c r="F23" s="1">
        <v>10002</v>
      </c>
      <c r="G23" s="1">
        <f t="shared" si="0"/>
        <v>3600</v>
      </c>
    </row>
    <row r="24" spans="2:17" x14ac:dyDescent="0.2">
      <c r="B24" s="1">
        <v>1000018</v>
      </c>
      <c r="C24" s="1" t="s">
        <v>287</v>
      </c>
      <c r="D24" s="1">
        <v>1</v>
      </c>
      <c r="E24" s="1">
        <v>6488888</v>
      </c>
      <c r="F24" s="1">
        <v>10002</v>
      </c>
      <c r="G24" s="1">
        <f t="shared" si="0"/>
        <v>3800</v>
      </c>
    </row>
    <row r="25" spans="2:17" x14ac:dyDescent="0.2">
      <c r="B25" s="1">
        <v>1000019</v>
      </c>
      <c r="C25" s="1" t="s">
        <v>288</v>
      </c>
      <c r="D25" s="1">
        <v>1</v>
      </c>
      <c r="E25" s="1">
        <v>7688888</v>
      </c>
      <c r="F25" s="1">
        <v>10002</v>
      </c>
      <c r="G25" s="1">
        <f t="shared" si="0"/>
        <v>4000</v>
      </c>
    </row>
    <row r="26" spans="2:17" x14ac:dyDescent="0.2">
      <c r="B26" s="1">
        <v>1000020</v>
      </c>
      <c r="C26" s="1" t="s">
        <v>289</v>
      </c>
      <c r="D26" s="1">
        <v>1</v>
      </c>
      <c r="E26" s="1">
        <v>8988888</v>
      </c>
      <c r="F26" s="1">
        <v>10002</v>
      </c>
      <c r="G26" s="1">
        <f t="shared" si="0"/>
        <v>4200</v>
      </c>
    </row>
    <row r="27" spans="2:17" x14ac:dyDescent="0.2">
      <c r="B27" s="1">
        <v>1000021</v>
      </c>
      <c r="C27" s="1" t="s">
        <v>290</v>
      </c>
      <c r="D27" s="1">
        <v>1</v>
      </c>
      <c r="E27" s="1">
        <v>10388888</v>
      </c>
      <c r="F27" s="1">
        <v>10002</v>
      </c>
      <c r="G27" s="1">
        <v>4500</v>
      </c>
    </row>
    <row r="28" spans="2:17" x14ac:dyDescent="0.2">
      <c r="B28" s="1">
        <v>1000022</v>
      </c>
      <c r="C28" s="1" t="s">
        <v>291</v>
      </c>
      <c r="D28" s="1">
        <v>1</v>
      </c>
      <c r="E28" s="1">
        <v>11888888</v>
      </c>
      <c r="F28" s="1">
        <v>10002</v>
      </c>
      <c r="G28" s="1">
        <v>5000</v>
      </c>
    </row>
    <row r="29" spans="2:17" x14ac:dyDescent="0.2">
      <c r="B29" s="1">
        <v>2000000</v>
      </c>
      <c r="C29" s="1" t="s">
        <v>292</v>
      </c>
      <c r="D29" s="1">
        <v>2</v>
      </c>
      <c r="E29" s="1">
        <v>50000000</v>
      </c>
      <c r="F29" s="11">
        <v>10006</v>
      </c>
      <c r="G29" s="1">
        <v>1</v>
      </c>
      <c r="M29" s="54"/>
      <c r="N29" s="54"/>
      <c r="O29" s="54"/>
      <c r="P29" s="54"/>
      <c r="Q29" s="54"/>
    </row>
    <row r="30" spans="2:17" x14ac:dyDescent="0.2">
      <c r="B30" s="1">
        <v>2000001</v>
      </c>
      <c r="C30" s="1" t="s">
        <v>293</v>
      </c>
      <c r="D30" s="1">
        <v>2</v>
      </c>
      <c r="E30" s="1">
        <v>100000000</v>
      </c>
      <c r="F30" s="11">
        <v>10006</v>
      </c>
      <c r="G30" s="1">
        <v>1</v>
      </c>
      <c r="L30" s="54"/>
    </row>
    <row r="31" spans="2:17" x14ac:dyDescent="0.2">
      <c r="B31" s="1">
        <v>2000002</v>
      </c>
      <c r="C31" s="1" t="s">
        <v>294</v>
      </c>
      <c r="D31" s="1">
        <v>2</v>
      </c>
      <c r="E31" s="1">
        <v>200000000</v>
      </c>
      <c r="F31" s="11">
        <v>10006</v>
      </c>
      <c r="G31" s="1">
        <v>2</v>
      </c>
      <c r="L31" s="54"/>
    </row>
    <row r="32" spans="2:17" x14ac:dyDescent="0.2">
      <c r="B32" s="1">
        <v>2000003</v>
      </c>
      <c r="C32" s="1" t="s">
        <v>295</v>
      </c>
      <c r="D32" s="1">
        <v>2</v>
      </c>
      <c r="E32" s="1">
        <v>300000000</v>
      </c>
      <c r="F32" s="11">
        <v>10006</v>
      </c>
      <c r="G32" s="1">
        <v>2</v>
      </c>
      <c r="L32" s="54"/>
    </row>
    <row r="33" spans="2:12" x14ac:dyDescent="0.2">
      <c r="B33" s="1">
        <v>2000004</v>
      </c>
      <c r="C33" s="1" t="s">
        <v>296</v>
      </c>
      <c r="D33" s="1">
        <v>2</v>
      </c>
      <c r="E33" s="1">
        <v>400000000</v>
      </c>
      <c r="F33" s="11">
        <v>10006</v>
      </c>
      <c r="G33" s="1">
        <v>2</v>
      </c>
      <c r="L33" s="54"/>
    </row>
    <row r="34" spans="2:12" x14ac:dyDescent="0.2">
      <c r="B34" s="1">
        <v>2000005</v>
      </c>
      <c r="C34" s="1" t="s">
        <v>297</v>
      </c>
      <c r="D34" s="1">
        <v>2</v>
      </c>
      <c r="E34" s="1">
        <v>500000000</v>
      </c>
      <c r="F34" s="11">
        <v>10006</v>
      </c>
      <c r="G34" s="1">
        <v>2</v>
      </c>
      <c r="L34" s="54"/>
    </row>
    <row r="35" spans="2:12" x14ac:dyDescent="0.2">
      <c r="B35" s="1">
        <v>2000006</v>
      </c>
      <c r="C35" s="1" t="s">
        <v>298</v>
      </c>
      <c r="D35" s="1">
        <v>2</v>
      </c>
      <c r="E35" s="1">
        <v>600000000</v>
      </c>
      <c r="F35" s="11">
        <v>10006</v>
      </c>
      <c r="G35" s="1">
        <v>2</v>
      </c>
      <c r="L35" s="54"/>
    </row>
    <row r="36" spans="2:12" x14ac:dyDescent="0.2">
      <c r="B36" s="1">
        <v>2000007</v>
      </c>
      <c r="C36" s="1" t="s">
        <v>299</v>
      </c>
      <c r="D36" s="1">
        <v>2</v>
      </c>
      <c r="E36" s="1">
        <v>700000000</v>
      </c>
      <c r="F36" s="11">
        <v>10006</v>
      </c>
      <c r="G36" s="1">
        <v>2</v>
      </c>
      <c r="L36" s="54"/>
    </row>
    <row r="37" spans="2:12" x14ac:dyDescent="0.2">
      <c r="B37" s="1">
        <v>2000008</v>
      </c>
      <c r="C37" s="1" t="s">
        <v>300</v>
      </c>
      <c r="D37" s="1">
        <v>2</v>
      </c>
      <c r="E37" s="1">
        <v>800000000</v>
      </c>
      <c r="F37" s="11">
        <v>10006</v>
      </c>
      <c r="G37" s="1">
        <v>2</v>
      </c>
      <c r="L37" s="54"/>
    </row>
    <row r="38" spans="2:12" x14ac:dyDescent="0.2">
      <c r="B38" s="1">
        <v>2000009</v>
      </c>
      <c r="C38" s="1" t="s">
        <v>301</v>
      </c>
      <c r="D38" s="1">
        <v>2</v>
      </c>
      <c r="E38" s="1">
        <v>900000000</v>
      </c>
      <c r="F38" s="11">
        <v>10006</v>
      </c>
      <c r="G38" s="1">
        <v>2</v>
      </c>
      <c r="L38" s="54"/>
    </row>
    <row r="39" spans="2:12" x14ac:dyDescent="0.2">
      <c r="B39" s="1">
        <v>2000010</v>
      </c>
      <c r="C39" s="1" t="s">
        <v>302</v>
      </c>
      <c r="D39" s="1">
        <v>2</v>
      </c>
      <c r="E39" s="1">
        <v>1000000000</v>
      </c>
      <c r="F39" s="11">
        <v>10006</v>
      </c>
      <c r="G39" s="1">
        <v>2</v>
      </c>
      <c r="L39" s="54"/>
    </row>
    <row r="40" spans="2:12" x14ac:dyDescent="0.2">
      <c r="B40" s="1">
        <v>2000011</v>
      </c>
      <c r="C40" s="1" t="s">
        <v>303</v>
      </c>
      <c r="D40" s="1">
        <v>2</v>
      </c>
      <c r="E40" s="1">
        <v>1200000000</v>
      </c>
      <c r="F40" s="11">
        <v>10006</v>
      </c>
      <c r="G40" s="1">
        <v>4</v>
      </c>
    </row>
    <row r="41" spans="2:12" x14ac:dyDescent="0.2">
      <c r="B41" s="1">
        <v>2000012</v>
      </c>
      <c r="C41" s="1" t="s">
        <v>304</v>
      </c>
      <c r="D41" s="1">
        <v>2</v>
      </c>
      <c r="E41" s="1">
        <v>1400000000</v>
      </c>
      <c r="F41" s="11">
        <v>10006</v>
      </c>
      <c r="G41" s="1">
        <v>4</v>
      </c>
    </row>
    <row r="42" spans="2:12" x14ac:dyDescent="0.2">
      <c r="B42" s="1">
        <v>2000013</v>
      </c>
      <c r="C42" s="1" t="s">
        <v>305</v>
      </c>
      <c r="D42" s="1">
        <v>2</v>
      </c>
      <c r="E42" s="1">
        <v>1600000000</v>
      </c>
      <c r="F42" s="11">
        <v>10006</v>
      </c>
      <c r="G42" s="1">
        <v>4</v>
      </c>
    </row>
    <row r="43" spans="2:12" x14ac:dyDescent="0.2">
      <c r="B43" s="1">
        <v>2000014</v>
      </c>
      <c r="C43" s="1" t="s">
        <v>306</v>
      </c>
      <c r="D43" s="1">
        <v>2</v>
      </c>
      <c r="E43" s="1">
        <v>1800000000</v>
      </c>
      <c r="F43" s="11">
        <v>10006</v>
      </c>
      <c r="G43" s="1">
        <v>4</v>
      </c>
    </row>
    <row r="44" spans="2:12" x14ac:dyDescent="0.2">
      <c r="B44" s="1">
        <v>2000015</v>
      </c>
      <c r="C44" s="1" t="s">
        <v>307</v>
      </c>
      <c r="D44" s="1">
        <v>2</v>
      </c>
      <c r="E44" s="1">
        <v>2000000000</v>
      </c>
      <c r="F44" s="11">
        <v>10006</v>
      </c>
      <c r="G44" s="1">
        <v>4</v>
      </c>
    </row>
    <row r="45" spans="2:12" x14ac:dyDescent="0.2">
      <c r="B45" s="1">
        <v>2000016</v>
      </c>
      <c r="C45" s="1" t="s">
        <v>308</v>
      </c>
      <c r="D45" s="1">
        <v>2</v>
      </c>
      <c r="E45" s="1">
        <v>2500000000</v>
      </c>
      <c r="F45" s="11">
        <v>10006</v>
      </c>
      <c r="G45" s="1">
        <v>10</v>
      </c>
    </row>
    <row r="46" spans="2:12" x14ac:dyDescent="0.2">
      <c r="B46" s="1">
        <v>2000017</v>
      </c>
      <c r="C46" s="1" t="s">
        <v>309</v>
      </c>
      <c r="D46" s="1">
        <v>2</v>
      </c>
      <c r="E46" s="1">
        <v>3000000000</v>
      </c>
      <c r="F46" s="11">
        <v>10006</v>
      </c>
      <c r="G46" s="1">
        <v>10</v>
      </c>
    </row>
    <row r="47" spans="2:12" x14ac:dyDescent="0.2">
      <c r="B47" s="1">
        <v>2000018</v>
      </c>
      <c r="C47" s="1" t="s">
        <v>310</v>
      </c>
      <c r="D47" s="1">
        <v>2</v>
      </c>
      <c r="E47" s="1">
        <v>3500000000</v>
      </c>
      <c r="F47" s="11">
        <v>10006</v>
      </c>
      <c r="G47" s="1">
        <v>10</v>
      </c>
    </row>
    <row r="48" spans="2:12" x14ac:dyDescent="0.2">
      <c r="B48" s="1">
        <v>2000019</v>
      </c>
      <c r="C48" s="1" t="s">
        <v>311</v>
      </c>
      <c r="D48" s="1">
        <v>2</v>
      </c>
      <c r="E48" s="1">
        <v>4000000000</v>
      </c>
      <c r="F48" s="11">
        <v>10006</v>
      </c>
      <c r="G48" s="1">
        <v>10</v>
      </c>
    </row>
    <row r="49" spans="2:7" x14ac:dyDescent="0.2">
      <c r="B49" s="1">
        <v>2000020</v>
      </c>
      <c r="C49" s="1" t="s">
        <v>312</v>
      </c>
      <c r="D49" s="1">
        <v>2</v>
      </c>
      <c r="E49" s="1">
        <v>4500000000</v>
      </c>
      <c r="F49" s="11">
        <v>10006</v>
      </c>
      <c r="G49" s="1">
        <v>10</v>
      </c>
    </row>
    <row r="50" spans="2:7" x14ac:dyDescent="0.2">
      <c r="B50" s="1">
        <v>2000021</v>
      </c>
      <c r="C50" s="1" t="s">
        <v>313</v>
      </c>
      <c r="D50" s="1">
        <v>2</v>
      </c>
      <c r="E50" s="1">
        <v>5000000000</v>
      </c>
      <c r="F50" s="11">
        <v>10006</v>
      </c>
      <c r="G50" s="1">
        <v>10</v>
      </c>
    </row>
    <row r="51" spans="2:7" x14ac:dyDescent="0.2">
      <c r="B51" s="1">
        <v>2000022</v>
      </c>
      <c r="C51" s="1" t="s">
        <v>314</v>
      </c>
      <c r="D51" s="1">
        <v>2</v>
      </c>
      <c r="E51" s="1">
        <v>6000000000</v>
      </c>
      <c r="F51" s="11">
        <v>10006</v>
      </c>
      <c r="G51" s="1">
        <v>20</v>
      </c>
    </row>
    <row r="52" spans="2:7" x14ac:dyDescent="0.2">
      <c r="B52" s="1">
        <v>2000023</v>
      </c>
      <c r="C52" s="1" t="s">
        <v>315</v>
      </c>
      <c r="D52" s="1">
        <v>2</v>
      </c>
      <c r="E52" s="1">
        <v>7000000000</v>
      </c>
      <c r="F52" s="11">
        <v>10006</v>
      </c>
      <c r="G52" s="1">
        <v>20</v>
      </c>
    </row>
    <row r="53" spans="2:7" x14ac:dyDescent="0.2">
      <c r="B53" s="1">
        <v>2000024</v>
      </c>
      <c r="C53" s="1" t="s">
        <v>316</v>
      </c>
      <c r="D53" s="1">
        <v>2</v>
      </c>
      <c r="E53" s="1">
        <v>8000000000</v>
      </c>
      <c r="F53" s="11">
        <v>10006</v>
      </c>
      <c r="G53" s="1">
        <v>20</v>
      </c>
    </row>
    <row r="54" spans="2:7" x14ac:dyDescent="0.2">
      <c r="B54" s="1">
        <v>2000025</v>
      </c>
      <c r="C54" s="1" t="s">
        <v>317</v>
      </c>
      <c r="D54" s="1">
        <v>2</v>
      </c>
      <c r="E54" s="1">
        <v>9000000000</v>
      </c>
      <c r="F54" s="11">
        <v>10006</v>
      </c>
      <c r="G54" s="1">
        <v>20</v>
      </c>
    </row>
    <row r="55" spans="2:7" x14ac:dyDescent="0.2">
      <c r="B55" s="1">
        <v>2000026</v>
      </c>
      <c r="C55" s="1" t="s">
        <v>318</v>
      </c>
      <c r="D55" s="1">
        <v>2</v>
      </c>
      <c r="E55" s="1">
        <v>10000000000</v>
      </c>
      <c r="F55" s="11">
        <v>10006</v>
      </c>
      <c r="G55" s="1">
        <v>20</v>
      </c>
    </row>
    <row r="56" spans="2:7" x14ac:dyDescent="0.2">
      <c r="B56" s="1">
        <v>2000027</v>
      </c>
      <c r="C56" s="1" t="s">
        <v>319</v>
      </c>
      <c r="D56" s="1">
        <v>2</v>
      </c>
      <c r="E56" s="1">
        <v>11000000000</v>
      </c>
      <c r="F56" s="11">
        <v>10006</v>
      </c>
      <c r="G56" s="1">
        <v>20</v>
      </c>
    </row>
    <row r="57" spans="2:7" x14ac:dyDescent="0.2">
      <c r="B57" s="1">
        <v>2000028</v>
      </c>
      <c r="C57" s="1" t="s">
        <v>320</v>
      </c>
      <c r="D57" s="1">
        <v>2</v>
      </c>
      <c r="E57" s="1">
        <v>12000000000</v>
      </c>
      <c r="F57" s="11">
        <v>10006</v>
      </c>
      <c r="G57" s="1">
        <v>20</v>
      </c>
    </row>
    <row r="58" spans="2:7" x14ac:dyDescent="0.2">
      <c r="B58" s="1">
        <v>2000029</v>
      </c>
      <c r="C58" s="1" t="s">
        <v>321</v>
      </c>
      <c r="D58" s="1">
        <v>2</v>
      </c>
      <c r="E58" s="1">
        <v>13000000000</v>
      </c>
      <c r="F58" s="11">
        <v>10006</v>
      </c>
      <c r="G58" s="1">
        <v>20</v>
      </c>
    </row>
    <row r="59" spans="2:7" x14ac:dyDescent="0.2">
      <c r="B59" s="1">
        <v>2000030</v>
      </c>
      <c r="C59" s="1" t="s">
        <v>322</v>
      </c>
      <c r="D59" s="1">
        <v>2</v>
      </c>
      <c r="E59" s="1">
        <v>14000000000</v>
      </c>
      <c r="F59" s="11">
        <v>10006</v>
      </c>
      <c r="G59" s="1">
        <v>20</v>
      </c>
    </row>
    <row r="60" spans="2:7" x14ac:dyDescent="0.2">
      <c r="B60" s="1">
        <v>2000031</v>
      </c>
      <c r="C60" s="1" t="s">
        <v>323</v>
      </c>
      <c r="D60" s="1">
        <v>2</v>
      </c>
      <c r="E60" s="1">
        <v>15000000000</v>
      </c>
      <c r="F60" s="11">
        <v>10006</v>
      </c>
      <c r="G60" s="1">
        <v>20</v>
      </c>
    </row>
    <row r="61" spans="2:7" x14ac:dyDescent="0.2">
      <c r="B61" s="1">
        <v>2000032</v>
      </c>
      <c r="C61" s="1" t="s">
        <v>324</v>
      </c>
      <c r="D61" s="1">
        <v>2</v>
      </c>
      <c r="E61" s="1">
        <v>16000000000</v>
      </c>
      <c r="F61" s="11">
        <v>10006</v>
      </c>
      <c r="G61" s="1">
        <v>20</v>
      </c>
    </row>
    <row r="62" spans="2:7" x14ac:dyDescent="0.2">
      <c r="B62" s="1">
        <v>2000033</v>
      </c>
      <c r="C62" s="1" t="s">
        <v>325</v>
      </c>
      <c r="D62" s="1">
        <v>2</v>
      </c>
      <c r="E62" s="1">
        <v>17000000000</v>
      </c>
      <c r="F62" s="11">
        <v>10006</v>
      </c>
      <c r="G62" s="1">
        <v>20</v>
      </c>
    </row>
    <row r="63" spans="2:7" x14ac:dyDescent="0.2">
      <c r="B63" s="1">
        <v>2000034</v>
      </c>
      <c r="C63" s="1" t="s">
        <v>326</v>
      </c>
      <c r="D63" s="1">
        <v>2</v>
      </c>
      <c r="E63" s="1">
        <v>18000000000</v>
      </c>
      <c r="F63" s="11">
        <v>10006</v>
      </c>
      <c r="G63" s="1">
        <v>20</v>
      </c>
    </row>
    <row r="64" spans="2:7" x14ac:dyDescent="0.2">
      <c r="B64" s="1">
        <v>2000035</v>
      </c>
      <c r="C64" s="1" t="s">
        <v>327</v>
      </c>
      <c r="D64" s="1">
        <v>2</v>
      </c>
      <c r="E64" s="1">
        <v>19000000000</v>
      </c>
      <c r="F64" s="11">
        <v>10006</v>
      </c>
      <c r="G64" s="1">
        <v>20</v>
      </c>
    </row>
    <row r="65" spans="2:7" x14ac:dyDescent="0.2">
      <c r="B65" s="1">
        <v>2000036</v>
      </c>
      <c r="C65" s="1" t="s">
        <v>328</v>
      </c>
      <c r="D65" s="1">
        <v>2</v>
      </c>
      <c r="E65" s="1">
        <v>20000000000</v>
      </c>
      <c r="F65" s="11">
        <v>10006</v>
      </c>
      <c r="G65" s="1">
        <v>20</v>
      </c>
    </row>
    <row r="66" spans="2:7" x14ac:dyDescent="0.2">
      <c r="B66" s="1">
        <v>2000037</v>
      </c>
      <c r="C66" s="1" t="s">
        <v>329</v>
      </c>
      <c r="D66" s="1">
        <v>2</v>
      </c>
      <c r="E66" s="1">
        <v>21000000000</v>
      </c>
      <c r="F66" s="11">
        <v>10006</v>
      </c>
      <c r="G66" s="1">
        <v>20</v>
      </c>
    </row>
    <row r="67" spans="2:7" x14ac:dyDescent="0.2">
      <c r="B67" s="1">
        <v>2000038</v>
      </c>
      <c r="C67" s="1" t="s">
        <v>330</v>
      </c>
      <c r="D67" s="1">
        <v>2</v>
      </c>
      <c r="E67" s="1">
        <v>22000000000</v>
      </c>
      <c r="F67" s="11">
        <v>10006</v>
      </c>
      <c r="G67" s="1">
        <v>20</v>
      </c>
    </row>
    <row r="68" spans="2:7" x14ac:dyDescent="0.2">
      <c r="B68" s="1">
        <v>2000039</v>
      </c>
      <c r="C68" s="1" t="s">
        <v>331</v>
      </c>
      <c r="D68" s="1">
        <v>2</v>
      </c>
      <c r="E68" s="1">
        <v>23000000000</v>
      </c>
      <c r="F68" s="11">
        <v>10006</v>
      </c>
      <c r="G68" s="1">
        <v>20</v>
      </c>
    </row>
    <row r="69" spans="2:7" x14ac:dyDescent="0.2">
      <c r="B69" s="1">
        <v>4000000</v>
      </c>
      <c r="C69" s="1" t="s">
        <v>332</v>
      </c>
      <c r="D69" s="1">
        <v>4</v>
      </c>
      <c r="E69" s="1">
        <v>6</v>
      </c>
      <c r="F69" s="11">
        <v>2001</v>
      </c>
      <c r="G69" s="1">
        <v>3</v>
      </c>
    </row>
    <row r="70" spans="2:7" x14ac:dyDescent="0.2">
      <c r="B70" s="1">
        <v>4000001</v>
      </c>
      <c r="C70" s="1" t="s">
        <v>333</v>
      </c>
      <c r="D70" s="1">
        <v>4</v>
      </c>
      <c r="E70" s="1">
        <v>28</v>
      </c>
      <c r="F70" s="11">
        <v>2001</v>
      </c>
      <c r="G70" s="1">
        <v>5</v>
      </c>
    </row>
    <row r="71" spans="2:7" x14ac:dyDescent="0.2">
      <c r="B71" s="1">
        <v>4000002</v>
      </c>
      <c r="C71" s="1" t="s">
        <v>334</v>
      </c>
      <c r="D71" s="1">
        <v>4</v>
      </c>
      <c r="E71" s="1">
        <v>68</v>
      </c>
      <c r="F71" s="11">
        <v>2001</v>
      </c>
      <c r="G71" s="1">
        <v>10</v>
      </c>
    </row>
    <row r="72" spans="2:7" x14ac:dyDescent="0.2">
      <c r="B72" s="1">
        <v>4000003</v>
      </c>
      <c r="C72" s="1" t="s">
        <v>335</v>
      </c>
      <c r="D72" s="1">
        <v>4</v>
      </c>
      <c r="E72" s="1">
        <v>128</v>
      </c>
      <c r="F72" s="11">
        <v>2001</v>
      </c>
      <c r="G72" s="1">
        <v>15</v>
      </c>
    </row>
    <row r="73" spans="2:7" x14ac:dyDescent="0.2">
      <c r="B73" s="1">
        <v>4000004</v>
      </c>
      <c r="C73" s="1" t="s">
        <v>336</v>
      </c>
      <c r="D73" s="1">
        <v>4</v>
      </c>
      <c r="E73" s="1">
        <v>188</v>
      </c>
      <c r="F73" s="11">
        <v>2001</v>
      </c>
      <c r="G73" s="1">
        <v>20</v>
      </c>
    </row>
    <row r="74" spans="2:7" x14ac:dyDescent="0.2">
      <c r="B74" s="1">
        <v>4000005</v>
      </c>
      <c r="C74" s="1" t="s">
        <v>337</v>
      </c>
      <c r="D74" s="1">
        <v>4</v>
      </c>
      <c r="E74" s="1">
        <v>288</v>
      </c>
      <c r="F74" s="11">
        <v>2001</v>
      </c>
      <c r="G74" s="1">
        <v>30</v>
      </c>
    </row>
    <row r="75" spans="2:7" x14ac:dyDescent="0.2">
      <c r="B75" s="1">
        <v>4000006</v>
      </c>
      <c r="C75" s="1" t="s">
        <v>338</v>
      </c>
      <c r="D75" s="1">
        <v>4</v>
      </c>
      <c r="E75" s="1">
        <v>588</v>
      </c>
      <c r="F75" s="11">
        <v>2001</v>
      </c>
      <c r="G75" s="1">
        <v>50</v>
      </c>
    </row>
    <row r="76" spans="2:7" x14ac:dyDescent="0.2">
      <c r="F76" s="11"/>
    </row>
    <row r="77" spans="2:7" x14ac:dyDescent="0.2">
      <c r="F77" s="11"/>
    </row>
    <row r="78" spans="2:7" x14ac:dyDescent="0.2">
      <c r="F78" s="11"/>
    </row>
    <row r="79" spans="2:7" x14ac:dyDescent="0.2">
      <c r="F79" s="11"/>
    </row>
    <row r="80" spans="2:7" x14ac:dyDescent="0.2">
      <c r="F80" s="11"/>
    </row>
    <row r="81" spans="6:6" x14ac:dyDescent="0.2">
      <c r="F81" s="11"/>
    </row>
  </sheetData>
  <phoneticPr fontId="12" type="noConversion"/>
  <pageMargins left="0.75" right="0.75" top="1" bottom="1" header="0.5" footer="0.5"/>
  <pageSetup paperSize="9" orientation="portrait"/>
  <legacy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G13"/>
  <sheetViews>
    <sheetView workbookViewId="0">
      <selection activeCell="D5" sqref="D5:D8"/>
    </sheetView>
  </sheetViews>
  <sheetFormatPr defaultColWidth="9" defaultRowHeight="14.25" x14ac:dyDescent="0.2"/>
  <cols>
    <col min="1" max="3" width="9" style="1"/>
    <col min="4" max="4" width="24.5" style="19" customWidth="1"/>
    <col min="5" max="5" width="18.875" style="1" customWidth="1"/>
    <col min="6" max="6" width="12.5" style="1" customWidth="1"/>
    <col min="7" max="16384" width="9" style="1"/>
  </cols>
  <sheetData>
    <row r="1" spans="1:7" x14ac:dyDescent="0.2">
      <c r="A1" s="2" t="s">
        <v>0</v>
      </c>
      <c r="B1" s="3" t="s">
        <v>1</v>
      </c>
      <c r="C1" s="3" t="s">
        <v>66</v>
      </c>
      <c r="D1" s="4" t="s">
        <v>3</v>
      </c>
      <c r="E1" s="3" t="s">
        <v>339</v>
      </c>
      <c r="F1" s="3" t="s">
        <v>258</v>
      </c>
      <c r="G1" s="3" t="s">
        <v>127</v>
      </c>
    </row>
    <row r="2" spans="1:7" x14ac:dyDescent="0.2">
      <c r="A2" s="2" t="s">
        <v>0</v>
      </c>
      <c r="B2" s="2"/>
      <c r="C2" s="2"/>
      <c r="D2" s="21"/>
      <c r="E2" s="2"/>
      <c r="F2" s="2"/>
      <c r="G2" s="2"/>
    </row>
    <row r="3" spans="1:7" x14ac:dyDescent="0.2">
      <c r="A3" s="5" t="s">
        <v>6</v>
      </c>
      <c r="B3" s="3" t="s">
        <v>7</v>
      </c>
      <c r="C3" s="3" t="s">
        <v>8</v>
      </c>
      <c r="D3" s="4" t="s">
        <v>225</v>
      </c>
      <c r="E3" s="3" t="s">
        <v>83</v>
      </c>
      <c r="F3" s="3" t="s">
        <v>7</v>
      </c>
      <c r="G3" s="3" t="s">
        <v>7</v>
      </c>
    </row>
    <row r="4" spans="1:7" x14ac:dyDescent="0.2">
      <c r="A4" s="5" t="s">
        <v>9</v>
      </c>
      <c r="B4" s="5"/>
      <c r="C4" s="5" t="s">
        <v>57</v>
      </c>
      <c r="D4" s="22"/>
      <c r="E4" s="5"/>
      <c r="F4" s="5"/>
      <c r="G4" s="5"/>
    </row>
    <row r="5" spans="1:7" x14ac:dyDescent="0.2">
      <c r="A5" s="2" t="s">
        <v>10</v>
      </c>
      <c r="B5" s="3" t="s">
        <v>340</v>
      </c>
      <c r="C5" s="3" t="s">
        <v>341</v>
      </c>
      <c r="D5" s="53" t="s">
        <v>342</v>
      </c>
      <c r="E5" s="14" t="s">
        <v>343</v>
      </c>
      <c r="F5" s="14" t="s">
        <v>344</v>
      </c>
      <c r="G5" s="14" t="s">
        <v>345</v>
      </c>
    </row>
    <row r="6" spans="1:7" x14ac:dyDescent="0.2">
      <c r="B6" s="1">
        <v>100000</v>
      </c>
      <c r="C6" s="1" t="s">
        <v>346</v>
      </c>
      <c r="D6" s="19" t="s">
        <v>347</v>
      </c>
      <c r="E6" s="19" t="s">
        <v>348</v>
      </c>
      <c r="F6" s="19" t="s">
        <v>349</v>
      </c>
      <c r="G6" s="1">
        <v>8</v>
      </c>
    </row>
    <row r="7" spans="1:7" x14ac:dyDescent="0.2">
      <c r="B7" s="1">
        <v>100001</v>
      </c>
      <c r="C7" s="1" t="s">
        <v>350</v>
      </c>
      <c r="D7" s="1" t="s">
        <v>351</v>
      </c>
      <c r="E7" s="19" t="s">
        <v>352</v>
      </c>
      <c r="F7" s="19" t="s">
        <v>353</v>
      </c>
      <c r="G7" s="1">
        <v>58</v>
      </c>
    </row>
    <row r="8" spans="1:7" x14ac:dyDescent="0.2">
      <c r="B8" s="1">
        <v>100002</v>
      </c>
      <c r="C8" s="1" t="s">
        <v>354</v>
      </c>
      <c r="D8" s="1" t="s">
        <v>355</v>
      </c>
      <c r="E8" s="19" t="s">
        <v>356</v>
      </c>
      <c r="F8" s="19" t="s">
        <v>357</v>
      </c>
      <c r="G8" s="1">
        <v>168</v>
      </c>
    </row>
    <row r="9" spans="1:7" x14ac:dyDescent="0.2">
      <c r="E9" s="19"/>
      <c r="F9" s="19"/>
    </row>
    <row r="10" spans="1:7" x14ac:dyDescent="0.2">
      <c r="E10" s="19"/>
      <c r="F10" s="19"/>
    </row>
    <row r="11" spans="1:7" x14ac:dyDescent="0.2">
      <c r="E11" s="19"/>
      <c r="F11" s="19"/>
    </row>
    <row r="12" spans="1:7" x14ac:dyDescent="0.2">
      <c r="E12" s="19"/>
      <c r="F12" s="19"/>
    </row>
    <row r="13" spans="1:7" x14ac:dyDescent="0.2">
      <c r="E13" s="19"/>
      <c r="F13" s="19"/>
    </row>
  </sheetData>
  <phoneticPr fontId="12" type="noConversion"/>
  <pageMargins left="0.75" right="0.75" top="1" bottom="1" header="0.5" footer="0.5"/>
  <pageSetup paperSize="9" orientation="portrait"/>
  <legacy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J115"/>
  <sheetViews>
    <sheetView topLeftCell="A4" workbookViewId="0">
      <selection activeCell="J8" sqref="J8"/>
    </sheetView>
  </sheetViews>
  <sheetFormatPr defaultColWidth="9" defaultRowHeight="14.25" x14ac:dyDescent="0.2"/>
  <cols>
    <col min="1" max="1" width="9" style="1"/>
    <col min="2" max="2" width="11.5" style="1"/>
    <col min="3" max="3" width="9" style="1"/>
    <col min="4" max="4" width="10.375" style="1"/>
    <col min="5" max="5" width="22.75" style="1" customWidth="1"/>
    <col min="6" max="6" width="9" style="1"/>
    <col min="7" max="7" width="19.5" style="1" customWidth="1"/>
    <col min="8" max="16384" width="9" style="1"/>
  </cols>
  <sheetData>
    <row r="1" spans="1:10" x14ac:dyDescent="0.2">
      <c r="A1" s="2" t="s">
        <v>0</v>
      </c>
      <c r="B1" s="3" t="s">
        <v>1</v>
      </c>
      <c r="C1" s="3" t="s">
        <v>259</v>
      </c>
      <c r="D1" s="3" t="s">
        <v>358</v>
      </c>
      <c r="E1" s="4" t="s">
        <v>359</v>
      </c>
      <c r="F1" s="4" t="s">
        <v>360</v>
      </c>
      <c r="G1" s="49" t="s">
        <v>361</v>
      </c>
    </row>
    <row r="2" spans="1:10" x14ac:dyDescent="0.2">
      <c r="A2" s="2" t="s">
        <v>0</v>
      </c>
      <c r="B2" s="2"/>
      <c r="C2" s="2"/>
      <c r="D2" s="2"/>
      <c r="E2" s="2"/>
      <c r="F2" s="2"/>
      <c r="G2" s="50"/>
    </row>
    <row r="3" spans="1:10" x14ac:dyDescent="0.2">
      <c r="A3" s="5" t="s">
        <v>6</v>
      </c>
      <c r="B3" s="3" t="s">
        <v>7</v>
      </c>
      <c r="C3" s="3" t="s">
        <v>7</v>
      </c>
      <c r="D3" s="3" t="s">
        <v>7</v>
      </c>
      <c r="E3" s="37" t="s">
        <v>225</v>
      </c>
      <c r="F3" s="37" t="s">
        <v>7</v>
      </c>
      <c r="G3" s="51" t="s">
        <v>7</v>
      </c>
    </row>
    <row r="4" spans="1:10" x14ac:dyDescent="0.2">
      <c r="A4" s="5" t="s">
        <v>9</v>
      </c>
      <c r="B4" s="5"/>
      <c r="C4" s="5"/>
      <c r="D4" s="5"/>
      <c r="E4" s="5"/>
      <c r="F4" s="5" t="s">
        <v>57</v>
      </c>
      <c r="G4" s="52" t="s">
        <v>57</v>
      </c>
    </row>
    <row r="5" spans="1:10" x14ac:dyDescent="0.2">
      <c r="A5" s="2" t="s">
        <v>10</v>
      </c>
      <c r="B5" s="3" t="s">
        <v>140</v>
      </c>
      <c r="C5" s="3" t="s">
        <v>362</v>
      </c>
      <c r="D5" s="3" t="s">
        <v>363</v>
      </c>
      <c r="E5" s="3" t="s">
        <v>144</v>
      </c>
      <c r="F5" s="3" t="s">
        <v>364</v>
      </c>
      <c r="G5" s="49" t="s">
        <v>365</v>
      </c>
    </row>
    <row r="6" spans="1:10" x14ac:dyDescent="0.2">
      <c r="B6" s="11">
        <v>100001</v>
      </c>
      <c r="C6" s="11">
        <v>1</v>
      </c>
      <c r="D6" s="11">
        <v>1</v>
      </c>
      <c r="E6" s="1" t="s">
        <v>366</v>
      </c>
      <c r="F6" s="1">
        <v>30003</v>
      </c>
      <c r="G6" s="15">
        <v>0</v>
      </c>
    </row>
    <row r="7" spans="1:10" x14ac:dyDescent="0.2">
      <c r="B7" s="11">
        <v>100002</v>
      </c>
      <c r="C7" s="11">
        <v>2</v>
      </c>
      <c r="D7" s="11">
        <v>1</v>
      </c>
      <c r="E7" s="1" t="s">
        <v>367</v>
      </c>
      <c r="F7" s="1">
        <v>30004</v>
      </c>
      <c r="G7" s="15">
        <f>G6+5</f>
        <v>5</v>
      </c>
      <c r="J7" s="11"/>
    </row>
    <row r="8" spans="1:10" x14ac:dyDescent="0.2">
      <c r="B8" s="11">
        <v>100003</v>
      </c>
      <c r="C8" s="11">
        <v>3</v>
      </c>
      <c r="D8" s="11">
        <v>2</v>
      </c>
      <c r="E8" s="1" t="s">
        <v>367</v>
      </c>
      <c r="F8" s="1">
        <v>30005</v>
      </c>
      <c r="G8" s="15">
        <f t="shared" ref="G8:G55" si="0">G7+5</f>
        <v>10</v>
      </c>
      <c r="J8" s="11"/>
    </row>
    <row r="9" spans="1:10" x14ac:dyDescent="0.2">
      <c r="B9" s="11">
        <v>100004</v>
      </c>
      <c r="C9" s="11">
        <v>4</v>
      </c>
      <c r="D9" s="11">
        <v>2</v>
      </c>
      <c r="E9" s="1" t="s">
        <v>368</v>
      </c>
      <c r="F9" s="1">
        <v>30006</v>
      </c>
      <c r="G9" s="15">
        <f t="shared" si="0"/>
        <v>15</v>
      </c>
      <c r="J9" s="11"/>
    </row>
    <row r="10" spans="1:10" x14ac:dyDescent="0.2">
      <c r="B10" s="11">
        <v>100005</v>
      </c>
      <c r="C10" s="11">
        <v>5</v>
      </c>
      <c r="D10" s="11">
        <v>3</v>
      </c>
      <c r="E10" s="1" t="s">
        <v>369</v>
      </c>
      <c r="F10" s="1">
        <v>30007</v>
      </c>
      <c r="G10" s="15">
        <f t="shared" si="0"/>
        <v>20</v>
      </c>
    </row>
    <row r="11" spans="1:10" x14ac:dyDescent="0.2">
      <c r="B11" s="11">
        <v>100006</v>
      </c>
      <c r="C11" s="11">
        <v>6</v>
      </c>
      <c r="D11" s="11">
        <v>3</v>
      </c>
      <c r="E11" s="1" t="s">
        <v>370</v>
      </c>
      <c r="F11" s="1">
        <v>30011</v>
      </c>
      <c r="G11" s="15">
        <f t="shared" si="0"/>
        <v>25</v>
      </c>
    </row>
    <row r="12" spans="1:10" x14ac:dyDescent="0.2">
      <c r="B12" s="11">
        <v>100007</v>
      </c>
      <c r="C12" s="11">
        <v>7</v>
      </c>
      <c r="D12" s="11">
        <v>4</v>
      </c>
      <c r="E12" s="1" t="s">
        <v>371</v>
      </c>
      <c r="F12" s="1">
        <v>30012</v>
      </c>
      <c r="G12" s="15">
        <f t="shared" si="0"/>
        <v>30</v>
      </c>
    </row>
    <row r="13" spans="1:10" x14ac:dyDescent="0.2">
      <c r="B13" s="11">
        <v>100008</v>
      </c>
      <c r="C13" s="11">
        <v>8</v>
      </c>
      <c r="D13" s="11">
        <v>5</v>
      </c>
      <c r="E13" s="1" t="s">
        <v>372</v>
      </c>
      <c r="F13" s="1">
        <v>30013</v>
      </c>
      <c r="G13" s="15">
        <f t="shared" si="0"/>
        <v>35</v>
      </c>
    </row>
    <row r="14" spans="1:10" x14ac:dyDescent="0.2">
      <c r="B14" s="11">
        <v>100009</v>
      </c>
      <c r="C14" s="11">
        <v>9</v>
      </c>
      <c r="D14" s="11">
        <v>5</v>
      </c>
      <c r="E14" s="1" t="s">
        <v>373</v>
      </c>
      <c r="F14" s="1">
        <v>30014</v>
      </c>
      <c r="G14" s="15">
        <f t="shared" si="0"/>
        <v>40</v>
      </c>
    </row>
    <row r="15" spans="1:10" x14ac:dyDescent="0.2">
      <c r="B15" s="11">
        <v>100010</v>
      </c>
      <c r="C15" s="11">
        <v>10</v>
      </c>
      <c r="D15" s="11">
        <v>7</v>
      </c>
      <c r="E15" s="1" t="s">
        <v>374</v>
      </c>
      <c r="F15" s="1">
        <v>30015</v>
      </c>
      <c r="G15" s="15">
        <f t="shared" si="0"/>
        <v>45</v>
      </c>
    </row>
    <row r="16" spans="1:10" x14ac:dyDescent="0.2">
      <c r="B16" s="11">
        <v>100011</v>
      </c>
      <c r="C16" s="11">
        <v>11</v>
      </c>
      <c r="D16" s="11">
        <v>8</v>
      </c>
      <c r="E16" s="1" t="s">
        <v>374</v>
      </c>
      <c r="F16" s="1">
        <v>30003</v>
      </c>
      <c r="G16" s="15">
        <f t="shared" si="0"/>
        <v>50</v>
      </c>
    </row>
    <row r="17" spans="2:7" x14ac:dyDescent="0.2">
      <c r="B17" s="11">
        <v>100012</v>
      </c>
      <c r="C17" s="1">
        <v>12</v>
      </c>
      <c r="D17" s="11">
        <v>9</v>
      </c>
      <c r="E17" s="1" t="s">
        <v>374</v>
      </c>
      <c r="F17" s="1">
        <v>30004</v>
      </c>
      <c r="G17" s="15">
        <f t="shared" si="0"/>
        <v>55</v>
      </c>
    </row>
    <row r="18" spans="2:7" x14ac:dyDescent="0.2">
      <c r="B18" s="11">
        <v>100013</v>
      </c>
      <c r="C18" s="1">
        <v>13</v>
      </c>
      <c r="D18" s="11">
        <v>10</v>
      </c>
      <c r="E18" s="1" t="s">
        <v>374</v>
      </c>
      <c r="F18" s="1">
        <v>30005</v>
      </c>
      <c r="G18" s="15">
        <f t="shared" si="0"/>
        <v>60</v>
      </c>
    </row>
    <row r="19" spans="2:7" x14ac:dyDescent="0.2">
      <c r="B19" s="11">
        <v>100014</v>
      </c>
      <c r="C19" s="1">
        <v>14</v>
      </c>
      <c r="D19" s="11">
        <v>12</v>
      </c>
      <c r="E19" s="1" t="s">
        <v>374</v>
      </c>
      <c r="F19" s="1">
        <v>30006</v>
      </c>
      <c r="G19" s="15">
        <f t="shared" si="0"/>
        <v>65</v>
      </c>
    </row>
    <row r="20" spans="2:7" x14ac:dyDescent="0.2">
      <c r="B20" s="11">
        <v>100015</v>
      </c>
      <c r="C20" s="1">
        <v>15</v>
      </c>
      <c r="D20" s="11">
        <v>14</v>
      </c>
      <c r="E20" s="1" t="s">
        <v>374</v>
      </c>
      <c r="F20" s="1">
        <v>30007</v>
      </c>
      <c r="G20" s="15">
        <f t="shared" si="0"/>
        <v>70</v>
      </c>
    </row>
    <row r="21" spans="2:7" x14ac:dyDescent="0.2">
      <c r="B21" s="11">
        <v>100016</v>
      </c>
      <c r="C21" s="1">
        <v>16</v>
      </c>
      <c r="D21" s="11">
        <v>15</v>
      </c>
      <c r="E21" s="1" t="s">
        <v>374</v>
      </c>
      <c r="F21" s="1">
        <v>30011</v>
      </c>
      <c r="G21" s="15">
        <f t="shared" si="0"/>
        <v>75</v>
      </c>
    </row>
    <row r="22" spans="2:7" x14ac:dyDescent="0.2">
      <c r="B22" s="11">
        <v>100017</v>
      </c>
      <c r="C22" s="1">
        <v>17</v>
      </c>
      <c r="D22" s="11">
        <v>16</v>
      </c>
      <c r="E22" s="1" t="s">
        <v>374</v>
      </c>
      <c r="F22" s="1">
        <v>30012</v>
      </c>
      <c r="G22" s="15">
        <f t="shared" si="0"/>
        <v>80</v>
      </c>
    </row>
    <row r="23" spans="2:7" x14ac:dyDescent="0.2">
      <c r="B23" s="11">
        <v>100018</v>
      </c>
      <c r="C23" s="1">
        <v>18</v>
      </c>
      <c r="D23" s="11">
        <v>17</v>
      </c>
      <c r="E23" s="1" t="s">
        <v>374</v>
      </c>
      <c r="F23" s="1">
        <v>30013</v>
      </c>
      <c r="G23" s="15">
        <f t="shared" si="0"/>
        <v>85</v>
      </c>
    </row>
    <row r="24" spans="2:7" x14ac:dyDescent="0.2">
      <c r="B24" s="11">
        <v>100019</v>
      </c>
      <c r="C24" s="1">
        <v>19</v>
      </c>
      <c r="D24" s="11">
        <v>18</v>
      </c>
      <c r="E24" s="1" t="s">
        <v>374</v>
      </c>
      <c r="F24" s="1">
        <v>30014</v>
      </c>
      <c r="G24" s="15">
        <f t="shared" si="0"/>
        <v>90</v>
      </c>
    </row>
    <row r="25" spans="2:7" x14ac:dyDescent="0.2">
      <c r="B25" s="11">
        <v>100020</v>
      </c>
      <c r="C25" s="1">
        <v>20</v>
      </c>
      <c r="D25" s="11">
        <v>20</v>
      </c>
      <c r="E25" s="1" t="s">
        <v>374</v>
      </c>
      <c r="F25" s="1">
        <v>30015</v>
      </c>
      <c r="G25" s="15">
        <f t="shared" si="0"/>
        <v>95</v>
      </c>
    </row>
    <row r="26" spans="2:7" x14ac:dyDescent="0.2">
      <c r="B26" s="11">
        <v>100021</v>
      </c>
      <c r="C26" s="1">
        <v>21</v>
      </c>
      <c r="D26" s="11">
        <v>20</v>
      </c>
      <c r="E26" s="1" t="s">
        <v>375</v>
      </c>
      <c r="F26" s="1">
        <v>30003</v>
      </c>
      <c r="G26" s="15">
        <f t="shared" si="0"/>
        <v>100</v>
      </c>
    </row>
    <row r="27" spans="2:7" x14ac:dyDescent="0.2">
      <c r="B27" s="11">
        <v>100022</v>
      </c>
      <c r="C27" s="1">
        <v>22</v>
      </c>
      <c r="D27" s="11">
        <v>22</v>
      </c>
      <c r="E27" s="1" t="s">
        <v>375</v>
      </c>
      <c r="F27" s="1">
        <v>30004</v>
      </c>
      <c r="G27" s="15">
        <f t="shared" si="0"/>
        <v>105</v>
      </c>
    </row>
    <row r="28" spans="2:7" x14ac:dyDescent="0.2">
      <c r="B28" s="11">
        <v>100023</v>
      </c>
      <c r="C28" s="1">
        <v>23</v>
      </c>
      <c r="D28" s="11">
        <v>24</v>
      </c>
      <c r="E28" s="1" t="s">
        <v>375</v>
      </c>
      <c r="F28" s="1">
        <v>30005</v>
      </c>
      <c r="G28" s="15">
        <f t="shared" si="0"/>
        <v>110</v>
      </c>
    </row>
    <row r="29" spans="2:7" x14ac:dyDescent="0.2">
      <c r="B29" s="11">
        <v>100024</v>
      </c>
      <c r="C29" s="1">
        <v>24</v>
      </c>
      <c r="D29" s="11">
        <v>26</v>
      </c>
      <c r="E29" s="1" t="s">
        <v>375</v>
      </c>
      <c r="F29" s="1">
        <v>30006</v>
      </c>
      <c r="G29" s="15">
        <f t="shared" si="0"/>
        <v>115</v>
      </c>
    </row>
    <row r="30" spans="2:7" x14ac:dyDescent="0.2">
      <c r="B30" s="11">
        <v>100025</v>
      </c>
      <c r="C30" s="1">
        <v>25</v>
      </c>
      <c r="D30" s="11">
        <v>28</v>
      </c>
      <c r="E30" s="1" t="s">
        <v>375</v>
      </c>
      <c r="F30" s="1">
        <v>30007</v>
      </c>
      <c r="G30" s="15">
        <f t="shared" si="0"/>
        <v>120</v>
      </c>
    </row>
    <row r="31" spans="2:7" x14ac:dyDescent="0.2">
      <c r="B31" s="11">
        <v>100026</v>
      </c>
      <c r="C31" s="1">
        <v>26</v>
      </c>
      <c r="D31" s="11">
        <v>30</v>
      </c>
      <c r="E31" s="1" t="s">
        <v>375</v>
      </c>
      <c r="F31" s="1">
        <v>30011</v>
      </c>
      <c r="G31" s="15">
        <f t="shared" si="0"/>
        <v>125</v>
      </c>
    </row>
    <row r="32" spans="2:7" x14ac:dyDescent="0.2">
      <c r="B32" s="11">
        <v>100027</v>
      </c>
      <c r="C32" s="1">
        <v>27</v>
      </c>
      <c r="D32" s="11">
        <v>32</v>
      </c>
      <c r="E32" s="1" t="s">
        <v>375</v>
      </c>
      <c r="F32" s="1">
        <v>30012</v>
      </c>
      <c r="G32" s="15">
        <f t="shared" si="0"/>
        <v>130</v>
      </c>
    </row>
    <row r="33" spans="2:7" x14ac:dyDescent="0.2">
      <c r="B33" s="11">
        <v>100028</v>
      </c>
      <c r="C33" s="1">
        <v>28</v>
      </c>
      <c r="D33" s="11">
        <v>34</v>
      </c>
      <c r="E33" s="1" t="s">
        <v>375</v>
      </c>
      <c r="F33" s="1">
        <v>30013</v>
      </c>
      <c r="G33" s="15">
        <f t="shared" si="0"/>
        <v>135</v>
      </c>
    </row>
    <row r="34" spans="2:7" x14ac:dyDescent="0.2">
      <c r="B34" s="11">
        <v>100029</v>
      </c>
      <c r="C34" s="1">
        <v>29</v>
      </c>
      <c r="D34" s="11">
        <v>36</v>
      </c>
      <c r="E34" s="1" t="s">
        <v>375</v>
      </c>
      <c r="F34" s="1">
        <v>30014</v>
      </c>
      <c r="G34" s="15">
        <f t="shared" si="0"/>
        <v>140</v>
      </c>
    </row>
    <row r="35" spans="2:7" x14ac:dyDescent="0.2">
      <c r="B35" s="11">
        <v>100030</v>
      </c>
      <c r="C35" s="1">
        <v>30</v>
      </c>
      <c r="D35" s="11">
        <v>38</v>
      </c>
      <c r="E35" s="1" t="s">
        <v>375</v>
      </c>
      <c r="F35" s="1">
        <v>30015</v>
      </c>
      <c r="G35" s="15">
        <f t="shared" si="0"/>
        <v>145</v>
      </c>
    </row>
    <row r="36" spans="2:7" x14ac:dyDescent="0.2">
      <c r="B36" s="11">
        <v>100031</v>
      </c>
      <c r="C36" s="1">
        <v>31</v>
      </c>
      <c r="D36" s="11">
        <v>40</v>
      </c>
      <c r="E36" s="1" t="s">
        <v>376</v>
      </c>
      <c r="F36" s="1">
        <v>30003</v>
      </c>
      <c r="G36" s="15">
        <f t="shared" si="0"/>
        <v>150</v>
      </c>
    </row>
    <row r="37" spans="2:7" x14ac:dyDescent="0.2">
      <c r="B37" s="11">
        <v>100032</v>
      </c>
      <c r="C37" s="1">
        <v>32</v>
      </c>
      <c r="D37" s="11">
        <v>42</v>
      </c>
      <c r="E37" s="1" t="s">
        <v>376</v>
      </c>
      <c r="F37" s="1">
        <v>30004</v>
      </c>
      <c r="G37" s="15">
        <f t="shared" si="0"/>
        <v>155</v>
      </c>
    </row>
    <row r="38" spans="2:7" x14ac:dyDescent="0.2">
      <c r="B38" s="11">
        <v>100033</v>
      </c>
      <c r="C38" s="1">
        <v>33</v>
      </c>
      <c r="D38" s="11">
        <v>44</v>
      </c>
      <c r="E38" s="1" t="s">
        <v>376</v>
      </c>
      <c r="F38" s="1">
        <v>30005</v>
      </c>
      <c r="G38" s="15">
        <f t="shared" si="0"/>
        <v>160</v>
      </c>
    </row>
    <row r="39" spans="2:7" x14ac:dyDescent="0.2">
      <c r="B39" s="11">
        <v>100034</v>
      </c>
      <c r="C39" s="1">
        <v>34</v>
      </c>
      <c r="D39" s="11">
        <v>46</v>
      </c>
      <c r="E39" s="1" t="s">
        <v>376</v>
      </c>
      <c r="F39" s="1">
        <v>30006</v>
      </c>
      <c r="G39" s="15">
        <f t="shared" si="0"/>
        <v>165</v>
      </c>
    </row>
    <row r="40" spans="2:7" x14ac:dyDescent="0.2">
      <c r="B40" s="11">
        <v>100035</v>
      </c>
      <c r="C40" s="1">
        <v>35</v>
      </c>
      <c r="D40" s="11">
        <v>48</v>
      </c>
      <c r="E40" s="1" t="s">
        <v>376</v>
      </c>
      <c r="F40" s="1">
        <v>30007</v>
      </c>
      <c r="G40" s="15">
        <f t="shared" si="0"/>
        <v>170</v>
      </c>
    </row>
    <row r="41" spans="2:7" x14ac:dyDescent="0.2">
      <c r="B41" s="11">
        <v>100036</v>
      </c>
      <c r="C41" s="1">
        <v>36</v>
      </c>
      <c r="D41" s="11">
        <v>50</v>
      </c>
      <c r="E41" s="1" t="s">
        <v>376</v>
      </c>
      <c r="F41" s="1">
        <v>30011</v>
      </c>
      <c r="G41" s="15">
        <f t="shared" si="0"/>
        <v>175</v>
      </c>
    </row>
    <row r="42" spans="2:7" x14ac:dyDescent="0.2">
      <c r="B42" s="11">
        <v>100037</v>
      </c>
      <c r="C42" s="1">
        <v>37</v>
      </c>
      <c r="D42" s="11">
        <v>50</v>
      </c>
      <c r="E42" s="1" t="s">
        <v>376</v>
      </c>
      <c r="F42" s="1">
        <v>30012</v>
      </c>
      <c r="G42" s="15">
        <f t="shared" si="0"/>
        <v>180</v>
      </c>
    </row>
    <row r="43" spans="2:7" x14ac:dyDescent="0.2">
      <c r="B43" s="11">
        <v>100038</v>
      </c>
      <c r="C43" s="1">
        <v>38</v>
      </c>
      <c r="D43" s="11">
        <v>52</v>
      </c>
      <c r="E43" s="1" t="s">
        <v>376</v>
      </c>
      <c r="F43" s="1">
        <v>30013</v>
      </c>
      <c r="G43" s="15">
        <f t="shared" si="0"/>
        <v>185</v>
      </c>
    </row>
    <row r="44" spans="2:7" x14ac:dyDescent="0.2">
      <c r="B44" s="11">
        <v>100039</v>
      </c>
      <c r="C44" s="1">
        <v>39</v>
      </c>
      <c r="D44" s="11">
        <v>53</v>
      </c>
      <c r="E44" s="1" t="s">
        <v>376</v>
      </c>
      <c r="F44" s="1">
        <v>30014</v>
      </c>
      <c r="G44" s="15">
        <f t="shared" si="0"/>
        <v>190</v>
      </c>
    </row>
    <row r="45" spans="2:7" x14ac:dyDescent="0.2">
      <c r="B45" s="11">
        <v>100040</v>
      </c>
      <c r="C45" s="1">
        <v>40</v>
      </c>
      <c r="D45" s="11">
        <v>54</v>
      </c>
      <c r="E45" s="1" t="s">
        <v>376</v>
      </c>
      <c r="F45" s="1">
        <v>30015</v>
      </c>
      <c r="G45" s="15">
        <f t="shared" si="0"/>
        <v>195</v>
      </c>
    </row>
    <row r="46" spans="2:7" x14ac:dyDescent="0.2">
      <c r="B46" s="11">
        <v>100041</v>
      </c>
      <c r="C46" s="1">
        <v>41</v>
      </c>
      <c r="D46" s="11">
        <v>55</v>
      </c>
      <c r="E46" s="1" t="s">
        <v>376</v>
      </c>
      <c r="F46" s="1">
        <v>30003</v>
      </c>
      <c r="G46" s="15">
        <f t="shared" si="0"/>
        <v>200</v>
      </c>
    </row>
    <row r="47" spans="2:7" x14ac:dyDescent="0.2">
      <c r="B47" s="11">
        <v>100042</v>
      </c>
      <c r="C47" s="1">
        <v>42</v>
      </c>
      <c r="D47" s="11">
        <v>56</v>
      </c>
      <c r="E47" s="1" t="s">
        <v>377</v>
      </c>
      <c r="F47" s="1">
        <v>30004</v>
      </c>
      <c r="G47" s="15">
        <f t="shared" si="0"/>
        <v>205</v>
      </c>
    </row>
    <row r="48" spans="2:7" x14ac:dyDescent="0.2">
      <c r="B48" s="11">
        <v>100043</v>
      </c>
      <c r="C48" s="1">
        <v>43</v>
      </c>
      <c r="D48" s="11">
        <v>58</v>
      </c>
      <c r="E48" s="1" t="s">
        <v>377</v>
      </c>
      <c r="F48" s="1">
        <v>30005</v>
      </c>
      <c r="G48" s="15">
        <f t="shared" si="0"/>
        <v>210</v>
      </c>
    </row>
    <row r="49" spans="2:7" x14ac:dyDescent="0.2">
      <c r="B49" s="11">
        <v>100044</v>
      </c>
      <c r="C49" s="1">
        <v>44</v>
      </c>
      <c r="D49" s="11">
        <v>58</v>
      </c>
      <c r="E49" s="1" t="s">
        <v>377</v>
      </c>
      <c r="F49" s="1">
        <v>30006</v>
      </c>
      <c r="G49" s="15">
        <f t="shared" si="0"/>
        <v>215</v>
      </c>
    </row>
    <row r="50" spans="2:7" x14ac:dyDescent="0.2">
      <c r="B50" s="11">
        <v>100045</v>
      </c>
      <c r="C50" s="1">
        <v>45</v>
      </c>
      <c r="D50" s="11">
        <v>58</v>
      </c>
      <c r="E50" s="1" t="s">
        <v>377</v>
      </c>
      <c r="F50" s="1">
        <v>30007</v>
      </c>
      <c r="G50" s="15">
        <f t="shared" si="0"/>
        <v>220</v>
      </c>
    </row>
    <row r="51" spans="2:7" x14ac:dyDescent="0.2">
      <c r="B51" s="11">
        <v>100046</v>
      </c>
      <c r="C51" s="1">
        <v>46</v>
      </c>
      <c r="D51" s="11">
        <v>58</v>
      </c>
      <c r="E51" s="1" t="s">
        <v>377</v>
      </c>
      <c r="F51" s="1">
        <v>30011</v>
      </c>
      <c r="G51" s="15">
        <f t="shared" si="0"/>
        <v>225</v>
      </c>
    </row>
    <row r="52" spans="2:7" x14ac:dyDescent="0.2">
      <c r="B52" s="11">
        <v>100047</v>
      </c>
      <c r="C52" s="1">
        <v>47</v>
      </c>
      <c r="D52" s="11">
        <v>58</v>
      </c>
      <c r="E52" s="1" t="s">
        <v>377</v>
      </c>
      <c r="F52" s="1">
        <v>30012</v>
      </c>
      <c r="G52" s="15">
        <f t="shared" si="0"/>
        <v>230</v>
      </c>
    </row>
    <row r="53" spans="2:7" x14ac:dyDescent="0.2">
      <c r="B53" s="11">
        <v>100048</v>
      </c>
      <c r="C53" s="1">
        <v>48</v>
      </c>
      <c r="D53" s="11">
        <v>58</v>
      </c>
      <c r="E53" s="1" t="s">
        <v>377</v>
      </c>
      <c r="F53" s="1">
        <v>30013</v>
      </c>
      <c r="G53" s="15">
        <f t="shared" si="0"/>
        <v>235</v>
      </c>
    </row>
    <row r="54" spans="2:7" x14ac:dyDescent="0.2">
      <c r="B54" s="11">
        <v>100049</v>
      </c>
      <c r="C54" s="1">
        <v>49</v>
      </c>
      <c r="D54" s="11">
        <v>58</v>
      </c>
      <c r="E54" s="1" t="s">
        <v>377</v>
      </c>
      <c r="F54" s="1">
        <v>30014</v>
      </c>
      <c r="G54" s="15">
        <f t="shared" si="0"/>
        <v>240</v>
      </c>
    </row>
    <row r="55" spans="2:7" x14ac:dyDescent="0.2">
      <c r="B55" s="11">
        <v>100050</v>
      </c>
      <c r="C55" s="1">
        <v>50</v>
      </c>
      <c r="D55" s="11">
        <v>58</v>
      </c>
      <c r="E55" s="1" t="s">
        <v>377</v>
      </c>
      <c r="F55" s="1">
        <v>30015</v>
      </c>
      <c r="G55" s="15">
        <f t="shared" si="0"/>
        <v>245</v>
      </c>
    </row>
    <row r="56" spans="2:7" x14ac:dyDescent="0.2">
      <c r="B56" s="11"/>
      <c r="G56" s="15"/>
    </row>
    <row r="57" spans="2:7" x14ac:dyDescent="0.2">
      <c r="B57" s="11"/>
      <c r="G57" s="15"/>
    </row>
    <row r="58" spans="2:7" x14ac:dyDescent="0.2">
      <c r="B58" s="11"/>
      <c r="G58" s="15"/>
    </row>
    <row r="59" spans="2:7" x14ac:dyDescent="0.2">
      <c r="B59" s="11"/>
      <c r="G59" s="15"/>
    </row>
    <row r="60" spans="2:7" x14ac:dyDescent="0.2">
      <c r="B60" s="11"/>
      <c r="G60" s="15"/>
    </row>
    <row r="61" spans="2:7" x14ac:dyDescent="0.2">
      <c r="B61" s="11"/>
      <c r="G61" s="15"/>
    </row>
    <row r="62" spans="2:7" x14ac:dyDescent="0.2">
      <c r="B62" s="11"/>
      <c r="G62" s="15"/>
    </row>
    <row r="63" spans="2:7" x14ac:dyDescent="0.2">
      <c r="B63" s="11"/>
      <c r="G63" s="15"/>
    </row>
    <row r="64" spans="2:7" x14ac:dyDescent="0.2">
      <c r="B64" s="11"/>
      <c r="G64" s="15"/>
    </row>
    <row r="65" spans="2:7" x14ac:dyDescent="0.2">
      <c r="B65" s="11"/>
      <c r="G65" s="15"/>
    </row>
    <row r="66" spans="2:7" x14ac:dyDescent="0.2">
      <c r="B66" s="11"/>
      <c r="G66" s="15"/>
    </row>
    <row r="67" spans="2:7" x14ac:dyDescent="0.2">
      <c r="B67" s="11"/>
      <c r="G67" s="15"/>
    </row>
    <row r="68" spans="2:7" x14ac:dyDescent="0.2">
      <c r="B68" s="11"/>
      <c r="G68" s="15"/>
    </row>
    <row r="69" spans="2:7" x14ac:dyDescent="0.2">
      <c r="B69" s="11"/>
      <c r="G69" s="15"/>
    </row>
    <row r="70" spans="2:7" x14ac:dyDescent="0.2">
      <c r="B70" s="11"/>
      <c r="G70" s="15"/>
    </row>
    <row r="71" spans="2:7" x14ac:dyDescent="0.2">
      <c r="B71" s="11"/>
      <c r="G71" s="15"/>
    </row>
    <row r="72" spans="2:7" x14ac:dyDescent="0.2">
      <c r="B72" s="11"/>
      <c r="G72" s="15"/>
    </row>
    <row r="73" spans="2:7" x14ac:dyDescent="0.2">
      <c r="B73" s="11"/>
      <c r="G73" s="15"/>
    </row>
    <row r="74" spans="2:7" x14ac:dyDescent="0.2">
      <c r="B74" s="11"/>
      <c r="G74" s="15"/>
    </row>
    <row r="75" spans="2:7" x14ac:dyDescent="0.2">
      <c r="B75" s="11"/>
      <c r="G75" s="15"/>
    </row>
    <row r="76" spans="2:7" x14ac:dyDescent="0.2">
      <c r="B76" s="11"/>
      <c r="G76" s="15"/>
    </row>
    <row r="77" spans="2:7" x14ac:dyDescent="0.2">
      <c r="B77" s="11"/>
      <c r="G77" s="15"/>
    </row>
    <row r="78" spans="2:7" x14ac:dyDescent="0.2">
      <c r="B78" s="11"/>
      <c r="G78" s="15"/>
    </row>
    <row r="79" spans="2:7" x14ac:dyDescent="0.2">
      <c r="B79" s="11"/>
      <c r="G79" s="15"/>
    </row>
    <row r="80" spans="2:7" x14ac:dyDescent="0.2">
      <c r="B80" s="11"/>
      <c r="G80" s="15"/>
    </row>
    <row r="81" spans="2:7" x14ac:dyDescent="0.2">
      <c r="B81" s="11"/>
      <c r="G81" s="15"/>
    </row>
    <row r="82" spans="2:7" x14ac:dyDescent="0.2">
      <c r="B82" s="11"/>
      <c r="G82" s="15"/>
    </row>
    <row r="83" spans="2:7" x14ac:dyDescent="0.2">
      <c r="B83" s="11"/>
      <c r="G83" s="15"/>
    </row>
    <row r="84" spans="2:7" x14ac:dyDescent="0.2">
      <c r="B84" s="11"/>
      <c r="G84" s="15"/>
    </row>
    <row r="85" spans="2:7" x14ac:dyDescent="0.2">
      <c r="B85" s="11"/>
      <c r="G85" s="15"/>
    </row>
    <row r="86" spans="2:7" x14ac:dyDescent="0.2">
      <c r="B86" s="11"/>
      <c r="G86" s="15"/>
    </row>
    <row r="87" spans="2:7" x14ac:dyDescent="0.2">
      <c r="B87" s="11"/>
      <c r="G87" s="15"/>
    </row>
    <row r="88" spans="2:7" x14ac:dyDescent="0.2">
      <c r="B88" s="11"/>
      <c r="G88" s="15"/>
    </row>
    <row r="89" spans="2:7" x14ac:dyDescent="0.2">
      <c r="B89" s="11"/>
      <c r="G89" s="15"/>
    </row>
    <row r="90" spans="2:7" x14ac:dyDescent="0.2">
      <c r="B90" s="11"/>
      <c r="G90" s="15"/>
    </row>
    <row r="91" spans="2:7" x14ac:dyDescent="0.2">
      <c r="B91" s="11"/>
      <c r="G91" s="15"/>
    </row>
    <row r="92" spans="2:7" x14ac:dyDescent="0.2">
      <c r="B92" s="11"/>
      <c r="G92" s="15"/>
    </row>
    <row r="93" spans="2:7" x14ac:dyDescent="0.2">
      <c r="B93" s="11"/>
      <c r="G93" s="15"/>
    </row>
    <row r="94" spans="2:7" x14ac:dyDescent="0.2">
      <c r="B94" s="11"/>
      <c r="G94" s="15"/>
    </row>
    <row r="95" spans="2:7" x14ac:dyDescent="0.2">
      <c r="B95" s="11"/>
      <c r="G95" s="15"/>
    </row>
    <row r="96" spans="2:7" x14ac:dyDescent="0.2">
      <c r="B96" s="11"/>
      <c r="G96" s="15"/>
    </row>
    <row r="97" spans="2:7" x14ac:dyDescent="0.2">
      <c r="B97" s="11"/>
      <c r="G97" s="15"/>
    </row>
    <row r="98" spans="2:7" x14ac:dyDescent="0.2">
      <c r="B98" s="11"/>
      <c r="G98" s="15"/>
    </row>
    <row r="99" spans="2:7" x14ac:dyDescent="0.2">
      <c r="B99" s="11"/>
      <c r="G99" s="15"/>
    </row>
    <row r="100" spans="2:7" x14ac:dyDescent="0.2">
      <c r="B100" s="11"/>
      <c r="G100" s="15"/>
    </row>
    <row r="101" spans="2:7" x14ac:dyDescent="0.2">
      <c r="B101" s="11"/>
      <c r="G101" s="15"/>
    </row>
    <row r="102" spans="2:7" x14ac:dyDescent="0.2">
      <c r="B102" s="11"/>
      <c r="G102" s="15"/>
    </row>
    <row r="103" spans="2:7" x14ac:dyDescent="0.2">
      <c r="B103" s="11"/>
      <c r="G103" s="15"/>
    </row>
    <row r="104" spans="2:7" x14ac:dyDescent="0.2">
      <c r="B104" s="11"/>
      <c r="G104" s="15"/>
    </row>
    <row r="105" spans="2:7" x14ac:dyDescent="0.2">
      <c r="B105" s="11"/>
      <c r="G105" s="15"/>
    </row>
    <row r="106" spans="2:7" x14ac:dyDescent="0.2">
      <c r="B106" s="11"/>
      <c r="G106" s="15"/>
    </row>
    <row r="107" spans="2:7" x14ac:dyDescent="0.2">
      <c r="B107" s="11"/>
      <c r="G107" s="15"/>
    </row>
    <row r="108" spans="2:7" x14ac:dyDescent="0.2">
      <c r="B108" s="11"/>
      <c r="G108" s="15"/>
    </row>
    <row r="109" spans="2:7" x14ac:dyDescent="0.2">
      <c r="B109" s="11"/>
      <c r="G109" s="15"/>
    </row>
    <row r="110" spans="2:7" x14ac:dyDescent="0.2">
      <c r="B110" s="11"/>
      <c r="G110" s="15"/>
    </row>
    <row r="111" spans="2:7" x14ac:dyDescent="0.2">
      <c r="B111" s="11"/>
      <c r="G111" s="15"/>
    </row>
    <row r="112" spans="2:7" x14ac:dyDescent="0.2">
      <c r="B112" s="11"/>
      <c r="G112" s="15"/>
    </row>
    <row r="113" spans="2:7" x14ac:dyDescent="0.2">
      <c r="B113" s="11"/>
      <c r="G113" s="15"/>
    </row>
    <row r="114" spans="2:7" x14ac:dyDescent="0.2">
      <c r="B114" s="11"/>
      <c r="G114" s="15"/>
    </row>
    <row r="115" spans="2:7" x14ac:dyDescent="0.2">
      <c r="B115" s="11"/>
      <c r="G115" s="15"/>
    </row>
  </sheetData>
  <phoneticPr fontId="12" type="noConversion"/>
  <pageMargins left="0.75" right="0.75" top="1" bottom="1" header="0.5" footer="0.5"/>
  <pageSetup paperSize="9" orientation="portrait"/>
  <legacy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J65"/>
  <sheetViews>
    <sheetView workbookViewId="0">
      <selection activeCell="H37" sqref="H37"/>
    </sheetView>
  </sheetViews>
  <sheetFormatPr defaultColWidth="9" defaultRowHeight="14.25" x14ac:dyDescent="0.2"/>
  <cols>
    <col min="1" max="1" width="9" style="40"/>
    <col min="6" max="6" width="9" style="1"/>
  </cols>
  <sheetData>
    <row r="1" spans="1:10" x14ac:dyDescent="0.2">
      <c r="A1" s="41" t="s">
        <v>0</v>
      </c>
      <c r="B1" s="3" t="s">
        <v>1</v>
      </c>
      <c r="C1" s="42" t="s">
        <v>378</v>
      </c>
      <c r="D1" s="42" t="s">
        <v>379</v>
      </c>
      <c r="E1" s="42" t="s">
        <v>380</v>
      </c>
      <c r="F1" s="42" t="s">
        <v>381</v>
      </c>
    </row>
    <row r="2" spans="1:10" x14ac:dyDescent="0.2">
      <c r="A2" s="41" t="s">
        <v>0</v>
      </c>
      <c r="B2" s="2"/>
      <c r="C2" s="2"/>
      <c r="D2" s="2"/>
      <c r="E2" s="2"/>
      <c r="F2" s="2"/>
    </row>
    <row r="3" spans="1:10" x14ac:dyDescent="0.2">
      <c r="A3" s="43" t="s">
        <v>6</v>
      </c>
      <c r="B3" s="3" t="s">
        <v>7</v>
      </c>
      <c r="C3" s="3" t="s">
        <v>7</v>
      </c>
      <c r="D3" s="3" t="s">
        <v>7</v>
      </c>
      <c r="E3" s="3" t="s">
        <v>7</v>
      </c>
      <c r="F3" s="3" t="s">
        <v>7</v>
      </c>
    </row>
    <row r="4" spans="1:10" x14ac:dyDescent="0.2">
      <c r="A4" s="43" t="s">
        <v>9</v>
      </c>
      <c r="B4" s="5"/>
      <c r="C4" s="5"/>
      <c r="D4" s="5"/>
      <c r="E4" s="5"/>
      <c r="F4" s="5"/>
    </row>
    <row r="5" spans="1:10" x14ac:dyDescent="0.2">
      <c r="A5" s="41" t="s">
        <v>10</v>
      </c>
      <c r="B5" s="44" t="s">
        <v>382</v>
      </c>
      <c r="C5" s="44" t="s">
        <v>383</v>
      </c>
      <c r="D5" s="44" t="s">
        <v>384</v>
      </c>
      <c r="E5" s="44" t="s">
        <v>382</v>
      </c>
      <c r="F5" s="45" t="s">
        <v>385</v>
      </c>
    </row>
    <row r="6" spans="1:10" x14ac:dyDescent="0.2">
      <c r="B6" s="46">
        <v>101</v>
      </c>
      <c r="C6" s="46">
        <v>1</v>
      </c>
      <c r="D6" s="46">
        <v>1</v>
      </c>
      <c r="E6" s="46">
        <v>0</v>
      </c>
      <c r="F6" s="47">
        <v>1000</v>
      </c>
      <c r="G6" s="46"/>
      <c r="H6" s="46"/>
      <c r="I6" s="46"/>
      <c r="J6" s="48"/>
    </row>
    <row r="7" spans="1:10" x14ac:dyDescent="0.2">
      <c r="B7" s="46">
        <v>102</v>
      </c>
      <c r="C7" s="46">
        <v>2</v>
      </c>
      <c r="D7" s="46">
        <v>2</v>
      </c>
      <c r="E7" s="46">
        <v>0</v>
      </c>
      <c r="F7" s="47">
        <v>2000</v>
      </c>
      <c r="G7" s="46"/>
      <c r="H7" s="46"/>
      <c r="I7" s="46"/>
      <c r="J7" s="48"/>
    </row>
    <row r="8" spans="1:10" x14ac:dyDescent="0.2">
      <c r="B8" s="46">
        <v>103</v>
      </c>
      <c r="C8" s="46">
        <v>3</v>
      </c>
      <c r="D8" s="46">
        <v>3</v>
      </c>
      <c r="E8" s="46">
        <v>0</v>
      </c>
      <c r="F8" s="47">
        <v>4000</v>
      </c>
      <c r="G8" s="46"/>
      <c r="H8" s="46"/>
      <c r="I8" s="46"/>
      <c r="J8" s="48"/>
    </row>
    <row r="9" spans="1:10" x14ac:dyDescent="0.2">
      <c r="B9" s="46">
        <v>104</v>
      </c>
      <c r="C9" s="46">
        <v>4</v>
      </c>
      <c r="D9" s="46">
        <v>4</v>
      </c>
      <c r="E9" s="46">
        <v>0</v>
      </c>
      <c r="F9" s="47">
        <v>2000</v>
      </c>
      <c r="G9" s="46"/>
      <c r="H9" s="46"/>
      <c r="I9" s="46"/>
      <c r="J9" s="48"/>
    </row>
    <row r="10" spans="1:10" x14ac:dyDescent="0.2">
      <c r="B10" s="46">
        <v>105</v>
      </c>
      <c r="C10" s="46">
        <v>5</v>
      </c>
      <c r="D10" s="46">
        <v>5</v>
      </c>
      <c r="E10" s="46">
        <v>0</v>
      </c>
      <c r="F10" s="47">
        <v>1000</v>
      </c>
      <c r="G10" s="46"/>
      <c r="H10" s="46"/>
      <c r="I10" s="46"/>
      <c r="J10" s="48"/>
    </row>
    <row r="11" spans="1:10" x14ac:dyDescent="0.2">
      <c r="B11" s="46">
        <v>111</v>
      </c>
      <c r="C11" s="46">
        <v>1</v>
      </c>
      <c r="D11" s="46">
        <v>1</v>
      </c>
      <c r="E11" s="46">
        <v>1</v>
      </c>
      <c r="F11" s="47">
        <v>0</v>
      </c>
      <c r="G11" s="46"/>
      <c r="H11" s="46"/>
      <c r="I11" s="46"/>
      <c r="J11" s="48"/>
    </row>
    <row r="12" spans="1:10" x14ac:dyDescent="0.2">
      <c r="B12" s="46">
        <v>112</v>
      </c>
      <c r="C12" s="46">
        <v>1</v>
      </c>
      <c r="D12" s="46">
        <v>2</v>
      </c>
      <c r="E12" s="46">
        <v>1</v>
      </c>
      <c r="F12" s="47">
        <v>2000</v>
      </c>
      <c r="G12" s="46"/>
      <c r="H12" s="46"/>
      <c r="I12" s="46"/>
      <c r="J12" s="48"/>
    </row>
    <row r="13" spans="1:10" x14ac:dyDescent="0.2">
      <c r="B13" s="46">
        <v>113</v>
      </c>
      <c r="C13" s="46">
        <v>1</v>
      </c>
      <c r="D13" s="46">
        <v>3</v>
      </c>
      <c r="E13" s="46">
        <v>1</v>
      </c>
      <c r="F13" s="47">
        <v>3000</v>
      </c>
      <c r="G13" s="46"/>
      <c r="H13" s="46"/>
      <c r="I13" s="46"/>
      <c r="J13" s="48"/>
    </row>
    <row r="14" spans="1:10" x14ac:dyDescent="0.2">
      <c r="B14" s="46">
        <v>114</v>
      </c>
      <c r="C14" s="46">
        <v>1</v>
      </c>
      <c r="D14" s="46">
        <v>4</v>
      </c>
      <c r="E14" s="46">
        <v>1</v>
      </c>
      <c r="F14" s="47">
        <v>4000</v>
      </c>
      <c r="G14" s="46"/>
      <c r="H14" s="46"/>
      <c r="I14" s="46"/>
      <c r="J14" s="48"/>
    </row>
    <row r="15" spans="1:10" x14ac:dyDescent="0.2">
      <c r="B15" s="46">
        <v>115</v>
      </c>
      <c r="C15" s="46">
        <v>1</v>
      </c>
      <c r="D15" s="46">
        <v>5</v>
      </c>
      <c r="E15" s="46">
        <v>1</v>
      </c>
      <c r="F15" s="47">
        <v>1000</v>
      </c>
      <c r="G15" s="46"/>
      <c r="H15" s="46"/>
      <c r="I15" s="46"/>
      <c r="J15" s="48"/>
    </row>
    <row r="16" spans="1:10" x14ac:dyDescent="0.2">
      <c r="B16" s="46">
        <v>121</v>
      </c>
      <c r="C16" s="46">
        <v>2</v>
      </c>
      <c r="D16" s="46">
        <v>1</v>
      </c>
      <c r="E16" s="46">
        <v>1</v>
      </c>
      <c r="F16" s="47">
        <v>500</v>
      </c>
      <c r="G16" s="46"/>
      <c r="H16" s="46"/>
      <c r="I16" s="46"/>
      <c r="J16" s="48"/>
    </row>
    <row r="17" spans="2:10" x14ac:dyDescent="0.2">
      <c r="B17" s="46">
        <v>122</v>
      </c>
      <c r="C17" s="46">
        <v>2</v>
      </c>
      <c r="D17" s="46">
        <v>2</v>
      </c>
      <c r="E17" s="46">
        <v>1</v>
      </c>
      <c r="F17" s="47">
        <v>2500</v>
      </c>
      <c r="G17" s="46"/>
      <c r="H17" s="46"/>
      <c r="I17" s="46"/>
      <c r="J17" s="48"/>
    </row>
    <row r="18" spans="2:10" x14ac:dyDescent="0.2">
      <c r="B18" s="46">
        <v>123</v>
      </c>
      <c r="C18" s="46">
        <v>2</v>
      </c>
      <c r="D18" s="46">
        <v>3</v>
      </c>
      <c r="E18" s="46">
        <v>1</v>
      </c>
      <c r="F18" s="47">
        <v>2500</v>
      </c>
      <c r="G18" s="46"/>
      <c r="H18" s="46"/>
      <c r="I18" s="46"/>
      <c r="J18" s="48"/>
    </row>
    <row r="19" spans="2:10" x14ac:dyDescent="0.2">
      <c r="B19" s="46">
        <v>124</v>
      </c>
      <c r="C19" s="46">
        <v>2</v>
      </c>
      <c r="D19" s="46">
        <v>4</v>
      </c>
      <c r="E19" s="46">
        <v>1</v>
      </c>
      <c r="F19" s="47">
        <v>2700</v>
      </c>
      <c r="G19" s="46"/>
      <c r="H19" s="46"/>
      <c r="I19" s="46"/>
      <c r="J19" s="48"/>
    </row>
    <row r="20" spans="2:10" x14ac:dyDescent="0.2">
      <c r="B20" s="46">
        <v>125</v>
      </c>
      <c r="C20" s="46">
        <v>2</v>
      </c>
      <c r="D20" s="46">
        <v>5</v>
      </c>
      <c r="E20" s="46">
        <v>1</v>
      </c>
      <c r="F20" s="47">
        <v>1800</v>
      </c>
      <c r="G20" s="46"/>
      <c r="H20" s="46"/>
      <c r="I20" s="46"/>
      <c r="J20" s="48"/>
    </row>
    <row r="21" spans="2:10" x14ac:dyDescent="0.2">
      <c r="B21" s="46">
        <v>131</v>
      </c>
      <c r="C21" s="46">
        <v>3</v>
      </c>
      <c r="D21" s="46">
        <v>1</v>
      </c>
      <c r="E21" s="46">
        <v>1</v>
      </c>
      <c r="F21" s="47">
        <v>1000</v>
      </c>
      <c r="G21" s="46"/>
      <c r="H21" s="46"/>
      <c r="I21" s="46"/>
      <c r="J21" s="48"/>
    </row>
    <row r="22" spans="2:10" x14ac:dyDescent="0.2">
      <c r="B22" s="46">
        <v>132</v>
      </c>
      <c r="C22" s="46">
        <v>3</v>
      </c>
      <c r="D22" s="46">
        <v>2</v>
      </c>
      <c r="E22" s="46">
        <v>1</v>
      </c>
      <c r="F22" s="47">
        <v>2000</v>
      </c>
      <c r="G22" s="46"/>
      <c r="H22" s="46"/>
      <c r="I22" s="46"/>
      <c r="J22" s="48"/>
    </row>
    <row r="23" spans="2:10" x14ac:dyDescent="0.2">
      <c r="B23" s="46">
        <v>133</v>
      </c>
      <c r="C23" s="46">
        <v>3</v>
      </c>
      <c r="D23" s="46">
        <v>3</v>
      </c>
      <c r="E23" s="46">
        <v>1</v>
      </c>
      <c r="F23" s="47">
        <v>3000</v>
      </c>
      <c r="G23" s="46"/>
      <c r="H23" s="46"/>
      <c r="I23" s="46"/>
      <c r="J23" s="48"/>
    </row>
    <row r="24" spans="2:10" x14ac:dyDescent="0.2">
      <c r="B24" s="46">
        <v>134</v>
      </c>
      <c r="C24" s="46">
        <v>3</v>
      </c>
      <c r="D24" s="46">
        <v>4</v>
      </c>
      <c r="E24" s="46">
        <v>1</v>
      </c>
      <c r="F24" s="47">
        <v>4000</v>
      </c>
      <c r="G24" s="46"/>
      <c r="H24" s="46"/>
      <c r="I24" s="46"/>
      <c r="J24" s="48"/>
    </row>
    <row r="25" spans="2:10" x14ac:dyDescent="0.2">
      <c r="B25" s="46">
        <v>135</v>
      </c>
      <c r="C25" s="46">
        <v>3</v>
      </c>
      <c r="D25" s="46">
        <v>5</v>
      </c>
      <c r="E25" s="46">
        <v>1</v>
      </c>
      <c r="F25" s="47">
        <v>0</v>
      </c>
      <c r="G25" s="46"/>
      <c r="H25" s="46"/>
      <c r="I25" s="46"/>
      <c r="J25" s="48"/>
    </row>
    <row r="26" spans="2:10" x14ac:dyDescent="0.2">
      <c r="B26" s="46">
        <v>141</v>
      </c>
      <c r="C26" s="46">
        <v>4</v>
      </c>
      <c r="D26" s="46">
        <v>1</v>
      </c>
      <c r="E26" s="46">
        <v>1</v>
      </c>
      <c r="F26" s="47">
        <v>1500</v>
      </c>
      <c r="G26" s="46"/>
      <c r="H26" s="46"/>
      <c r="I26" s="46"/>
      <c r="J26" s="48"/>
    </row>
    <row r="27" spans="2:10" x14ac:dyDescent="0.2">
      <c r="B27" s="46">
        <v>142</v>
      </c>
      <c r="C27" s="46">
        <v>4</v>
      </c>
      <c r="D27" s="46">
        <v>2</v>
      </c>
      <c r="E27" s="46">
        <v>1</v>
      </c>
      <c r="F27" s="47">
        <v>2000</v>
      </c>
      <c r="G27" s="46"/>
      <c r="H27" s="46"/>
      <c r="I27" s="46"/>
      <c r="J27" s="48"/>
    </row>
    <row r="28" spans="2:10" x14ac:dyDescent="0.2">
      <c r="B28" s="46">
        <v>143</v>
      </c>
      <c r="C28" s="46">
        <v>4</v>
      </c>
      <c r="D28" s="46">
        <v>3</v>
      </c>
      <c r="E28" s="46">
        <v>1</v>
      </c>
      <c r="F28" s="47">
        <v>3000</v>
      </c>
      <c r="G28" s="46"/>
      <c r="H28" s="46"/>
      <c r="I28" s="46"/>
      <c r="J28" s="48"/>
    </row>
    <row r="29" spans="2:10" x14ac:dyDescent="0.2">
      <c r="B29" s="46">
        <v>144</v>
      </c>
      <c r="C29" s="46">
        <v>4</v>
      </c>
      <c r="D29" s="46">
        <v>4</v>
      </c>
      <c r="E29" s="46">
        <v>1</v>
      </c>
      <c r="F29" s="47">
        <v>3500</v>
      </c>
      <c r="G29" s="46"/>
      <c r="H29" s="46"/>
      <c r="I29" s="46"/>
      <c r="J29" s="48"/>
    </row>
    <row r="30" spans="2:10" x14ac:dyDescent="0.2">
      <c r="B30" s="46">
        <v>145</v>
      </c>
      <c r="C30" s="46">
        <v>4</v>
      </c>
      <c r="D30" s="46">
        <v>5</v>
      </c>
      <c r="E30" s="46">
        <v>1</v>
      </c>
      <c r="F30" s="47">
        <v>0</v>
      </c>
      <c r="G30" s="46"/>
      <c r="H30" s="46"/>
      <c r="I30" s="46"/>
      <c r="J30" s="48"/>
    </row>
    <row r="31" spans="2:10" x14ac:dyDescent="0.2">
      <c r="B31" s="46">
        <v>151</v>
      </c>
      <c r="C31" s="46">
        <v>5</v>
      </c>
      <c r="D31" s="46">
        <v>1</v>
      </c>
      <c r="E31" s="46">
        <v>1</v>
      </c>
      <c r="F31" s="47">
        <v>500</v>
      </c>
      <c r="G31" s="46"/>
      <c r="H31" s="46"/>
      <c r="I31" s="46"/>
      <c r="J31" s="48"/>
    </row>
    <row r="32" spans="2:10" x14ac:dyDescent="0.2">
      <c r="B32" s="46">
        <v>152</v>
      </c>
      <c r="C32" s="46">
        <v>5</v>
      </c>
      <c r="D32" s="46">
        <v>2</v>
      </c>
      <c r="E32" s="46">
        <v>1</v>
      </c>
      <c r="F32" s="47">
        <v>2000</v>
      </c>
      <c r="G32" s="46"/>
      <c r="H32" s="46"/>
      <c r="I32" s="46"/>
      <c r="J32" s="48"/>
    </row>
    <row r="33" spans="2:10" x14ac:dyDescent="0.2">
      <c r="B33" s="46">
        <v>153</v>
      </c>
      <c r="C33" s="46">
        <v>5</v>
      </c>
      <c r="D33" s="46">
        <v>3</v>
      </c>
      <c r="E33" s="46">
        <v>1</v>
      </c>
      <c r="F33" s="47">
        <v>3500</v>
      </c>
      <c r="G33" s="46"/>
      <c r="H33" s="46"/>
      <c r="I33" s="46"/>
      <c r="J33" s="48"/>
    </row>
    <row r="34" spans="2:10" x14ac:dyDescent="0.2">
      <c r="B34" s="46">
        <v>154</v>
      </c>
      <c r="C34" s="46">
        <v>5</v>
      </c>
      <c r="D34" s="46">
        <v>4</v>
      </c>
      <c r="E34" s="46">
        <v>1</v>
      </c>
      <c r="F34" s="47">
        <v>4000</v>
      </c>
      <c r="G34" s="46"/>
      <c r="H34" s="46"/>
      <c r="I34" s="46"/>
      <c r="J34" s="48"/>
    </row>
    <row r="35" spans="2:10" x14ac:dyDescent="0.2">
      <c r="B35" s="46">
        <v>155</v>
      </c>
      <c r="C35" s="46">
        <v>5</v>
      </c>
      <c r="D35" s="46">
        <v>5</v>
      </c>
      <c r="E35" s="46">
        <v>1</v>
      </c>
      <c r="F35" s="47">
        <v>0</v>
      </c>
      <c r="G35" s="46"/>
      <c r="H35" s="46"/>
      <c r="I35" s="46"/>
      <c r="J35" s="48"/>
    </row>
    <row r="36" spans="2:10" x14ac:dyDescent="0.2">
      <c r="B36" s="46">
        <v>201</v>
      </c>
      <c r="C36" s="46">
        <v>1</v>
      </c>
      <c r="D36" s="46">
        <v>1</v>
      </c>
      <c r="E36" s="46">
        <v>0</v>
      </c>
      <c r="F36" s="47">
        <v>1000</v>
      </c>
      <c r="G36" s="46"/>
      <c r="H36" s="46"/>
      <c r="I36" s="46"/>
      <c r="J36" s="48"/>
    </row>
    <row r="37" spans="2:10" x14ac:dyDescent="0.2">
      <c r="B37" s="46">
        <v>202</v>
      </c>
      <c r="C37" s="46">
        <v>2</v>
      </c>
      <c r="D37" s="46">
        <v>2</v>
      </c>
      <c r="E37" s="46">
        <v>0</v>
      </c>
      <c r="F37" s="47">
        <v>2000</v>
      </c>
      <c r="G37" s="46"/>
      <c r="H37" s="46"/>
      <c r="I37" s="46"/>
      <c r="J37" s="48"/>
    </row>
    <row r="38" spans="2:10" x14ac:dyDescent="0.2">
      <c r="B38" s="46">
        <v>203</v>
      </c>
      <c r="C38" s="46">
        <v>3</v>
      </c>
      <c r="D38" s="46">
        <v>3</v>
      </c>
      <c r="E38" s="46">
        <v>0</v>
      </c>
      <c r="F38" s="47">
        <v>4000</v>
      </c>
      <c r="G38" s="46"/>
      <c r="H38" s="46"/>
      <c r="I38" s="46"/>
      <c r="J38" s="48"/>
    </row>
    <row r="39" spans="2:10" x14ac:dyDescent="0.2">
      <c r="B39" s="46">
        <v>204</v>
      </c>
      <c r="C39" s="46">
        <v>4</v>
      </c>
      <c r="D39" s="46">
        <v>4</v>
      </c>
      <c r="E39" s="46">
        <v>0</v>
      </c>
      <c r="F39" s="47">
        <v>2000</v>
      </c>
      <c r="G39" s="46"/>
      <c r="H39" s="46"/>
      <c r="I39" s="46"/>
      <c r="J39" s="48"/>
    </row>
    <row r="40" spans="2:10" x14ac:dyDescent="0.2">
      <c r="B40" s="46">
        <v>205</v>
      </c>
      <c r="C40" s="46">
        <v>5</v>
      </c>
      <c r="D40" s="46">
        <v>5</v>
      </c>
      <c r="E40" s="46">
        <v>0</v>
      </c>
      <c r="F40" s="47">
        <v>1000</v>
      </c>
      <c r="G40" s="46"/>
      <c r="H40" s="46"/>
      <c r="I40" s="46"/>
      <c r="J40" s="48"/>
    </row>
    <row r="41" spans="2:10" x14ac:dyDescent="0.2">
      <c r="B41" s="46">
        <v>211</v>
      </c>
      <c r="C41" s="46">
        <v>1</v>
      </c>
      <c r="D41" s="46">
        <v>1</v>
      </c>
      <c r="E41" s="46">
        <v>2</v>
      </c>
      <c r="F41" s="47">
        <v>0</v>
      </c>
      <c r="G41" s="46"/>
      <c r="H41" s="46"/>
      <c r="I41" s="46"/>
      <c r="J41" s="48"/>
    </row>
    <row r="42" spans="2:10" x14ac:dyDescent="0.2">
      <c r="B42" s="46">
        <v>212</v>
      </c>
      <c r="C42" s="46">
        <v>1</v>
      </c>
      <c r="D42" s="46">
        <v>2</v>
      </c>
      <c r="E42" s="46">
        <v>2</v>
      </c>
      <c r="F42" s="47">
        <v>2000</v>
      </c>
      <c r="G42" s="46"/>
      <c r="H42" s="46"/>
      <c r="I42" s="46"/>
      <c r="J42" s="48"/>
    </row>
    <row r="43" spans="2:10" x14ac:dyDescent="0.2">
      <c r="B43" s="46">
        <v>213</v>
      </c>
      <c r="C43" s="46">
        <v>1</v>
      </c>
      <c r="D43" s="46">
        <v>3</v>
      </c>
      <c r="E43" s="46">
        <v>2</v>
      </c>
      <c r="F43" s="47">
        <v>3000</v>
      </c>
      <c r="G43" s="46"/>
      <c r="H43" s="46"/>
      <c r="I43" s="46"/>
      <c r="J43" s="48"/>
    </row>
    <row r="44" spans="2:10" x14ac:dyDescent="0.2">
      <c r="B44" s="46">
        <v>214</v>
      </c>
      <c r="C44" s="46">
        <v>1</v>
      </c>
      <c r="D44" s="46">
        <v>4</v>
      </c>
      <c r="E44" s="46">
        <v>2</v>
      </c>
      <c r="F44" s="47">
        <v>4000</v>
      </c>
      <c r="G44" s="46"/>
      <c r="H44" s="46"/>
      <c r="I44" s="46"/>
      <c r="J44" s="48"/>
    </row>
    <row r="45" spans="2:10" x14ac:dyDescent="0.2">
      <c r="B45" s="46">
        <v>215</v>
      </c>
      <c r="C45" s="46">
        <v>1</v>
      </c>
      <c r="D45" s="46">
        <v>5</v>
      </c>
      <c r="E45" s="46">
        <v>2</v>
      </c>
      <c r="F45" s="47">
        <v>1000</v>
      </c>
      <c r="G45" s="46"/>
      <c r="H45" s="46"/>
      <c r="I45" s="46"/>
      <c r="J45" s="48"/>
    </row>
    <row r="46" spans="2:10" x14ac:dyDescent="0.2">
      <c r="B46" s="46">
        <v>221</v>
      </c>
      <c r="C46" s="46">
        <v>2</v>
      </c>
      <c r="D46" s="46">
        <v>1</v>
      </c>
      <c r="E46" s="46">
        <v>2</v>
      </c>
      <c r="F46" s="47">
        <v>500</v>
      </c>
      <c r="G46" s="46"/>
      <c r="H46" s="46"/>
      <c r="I46" s="46"/>
      <c r="J46" s="48"/>
    </row>
    <row r="47" spans="2:10" x14ac:dyDescent="0.2">
      <c r="B47" s="46">
        <v>222</v>
      </c>
      <c r="C47" s="46">
        <v>2</v>
      </c>
      <c r="D47" s="46">
        <v>2</v>
      </c>
      <c r="E47" s="46">
        <v>2</v>
      </c>
      <c r="F47" s="47">
        <v>2500</v>
      </c>
      <c r="G47" s="46"/>
      <c r="H47" s="46"/>
      <c r="I47" s="46"/>
      <c r="J47" s="48"/>
    </row>
    <row r="48" spans="2:10" x14ac:dyDescent="0.2">
      <c r="B48" s="46">
        <v>223</v>
      </c>
      <c r="C48" s="46">
        <v>2</v>
      </c>
      <c r="D48" s="46">
        <v>3</v>
      </c>
      <c r="E48" s="46">
        <v>2</v>
      </c>
      <c r="F48" s="47">
        <v>2500</v>
      </c>
      <c r="G48" s="46"/>
      <c r="H48" s="46"/>
      <c r="I48" s="46"/>
      <c r="J48" s="48"/>
    </row>
    <row r="49" spans="2:10" x14ac:dyDescent="0.2">
      <c r="B49" s="46">
        <v>224</v>
      </c>
      <c r="C49" s="46">
        <v>2</v>
      </c>
      <c r="D49" s="46">
        <v>4</v>
      </c>
      <c r="E49" s="46">
        <v>2</v>
      </c>
      <c r="F49" s="47">
        <v>2700</v>
      </c>
      <c r="G49" s="46"/>
      <c r="H49" s="46"/>
      <c r="I49" s="46"/>
      <c r="J49" s="48"/>
    </row>
    <row r="50" spans="2:10" x14ac:dyDescent="0.2">
      <c r="B50" s="46">
        <v>225</v>
      </c>
      <c r="C50" s="46">
        <v>2</v>
      </c>
      <c r="D50" s="46">
        <v>5</v>
      </c>
      <c r="E50" s="46">
        <v>2</v>
      </c>
      <c r="F50" s="47">
        <v>1800</v>
      </c>
      <c r="G50" s="46"/>
      <c r="H50" s="46"/>
      <c r="I50" s="46"/>
      <c r="J50" s="48"/>
    </row>
    <row r="51" spans="2:10" x14ac:dyDescent="0.2">
      <c r="B51" s="46">
        <v>231</v>
      </c>
      <c r="C51" s="46">
        <v>3</v>
      </c>
      <c r="D51" s="46">
        <v>1</v>
      </c>
      <c r="E51" s="46">
        <v>2</v>
      </c>
      <c r="F51" s="47">
        <v>1000</v>
      </c>
      <c r="G51" s="46"/>
      <c r="H51" s="46"/>
      <c r="I51" s="46"/>
      <c r="J51" s="48"/>
    </row>
    <row r="52" spans="2:10" x14ac:dyDescent="0.2">
      <c r="B52" s="46">
        <v>232</v>
      </c>
      <c r="C52" s="46">
        <v>3</v>
      </c>
      <c r="D52" s="46">
        <v>2</v>
      </c>
      <c r="E52" s="46">
        <v>2</v>
      </c>
      <c r="F52" s="47">
        <v>1500</v>
      </c>
      <c r="G52" s="46"/>
      <c r="H52" s="46"/>
      <c r="I52" s="46"/>
      <c r="J52" s="48"/>
    </row>
    <row r="53" spans="2:10" x14ac:dyDescent="0.2">
      <c r="B53" s="46">
        <v>233</v>
      </c>
      <c r="C53" s="46">
        <v>3</v>
      </c>
      <c r="D53" s="46">
        <v>3</v>
      </c>
      <c r="E53" s="46">
        <v>2</v>
      </c>
      <c r="F53" s="47">
        <v>2870</v>
      </c>
      <c r="G53" s="46"/>
      <c r="H53" s="46"/>
      <c r="I53" s="46"/>
      <c r="J53" s="48"/>
    </row>
    <row r="54" spans="2:10" x14ac:dyDescent="0.2">
      <c r="B54" s="46">
        <v>234</v>
      </c>
      <c r="C54" s="46">
        <v>3</v>
      </c>
      <c r="D54" s="46">
        <v>4</v>
      </c>
      <c r="E54" s="46">
        <v>2</v>
      </c>
      <c r="F54" s="47">
        <v>4000</v>
      </c>
      <c r="G54" s="46"/>
      <c r="H54" s="46"/>
      <c r="I54" s="46"/>
      <c r="J54" s="48"/>
    </row>
    <row r="55" spans="2:10" x14ac:dyDescent="0.2">
      <c r="B55" s="46">
        <v>235</v>
      </c>
      <c r="C55" s="46">
        <v>3</v>
      </c>
      <c r="D55" s="46">
        <v>5</v>
      </c>
      <c r="E55" s="46">
        <v>2</v>
      </c>
      <c r="F55" s="47">
        <v>630</v>
      </c>
      <c r="G55" s="46"/>
      <c r="H55" s="46"/>
      <c r="I55" s="46"/>
      <c r="J55" s="48"/>
    </row>
    <row r="56" spans="2:10" x14ac:dyDescent="0.2">
      <c r="B56" s="46">
        <v>241</v>
      </c>
      <c r="C56" s="46">
        <v>4</v>
      </c>
      <c r="D56" s="46">
        <v>1</v>
      </c>
      <c r="E56" s="46">
        <v>2</v>
      </c>
      <c r="F56" s="47">
        <v>1000</v>
      </c>
      <c r="G56" s="46"/>
      <c r="H56" s="46"/>
      <c r="I56" s="46"/>
      <c r="J56" s="48"/>
    </row>
    <row r="57" spans="2:10" x14ac:dyDescent="0.2">
      <c r="B57" s="46">
        <v>242</v>
      </c>
      <c r="C57" s="46">
        <v>4</v>
      </c>
      <c r="D57" s="46">
        <v>2</v>
      </c>
      <c r="E57" s="46">
        <v>2</v>
      </c>
      <c r="F57" s="47">
        <v>1000</v>
      </c>
      <c r="G57" s="46"/>
      <c r="H57" s="46"/>
      <c r="I57" s="46"/>
      <c r="J57" s="48"/>
    </row>
    <row r="58" spans="2:10" x14ac:dyDescent="0.2">
      <c r="B58" s="46">
        <v>243</v>
      </c>
      <c r="C58" s="46">
        <v>4</v>
      </c>
      <c r="D58" s="46">
        <v>3</v>
      </c>
      <c r="E58" s="46">
        <v>2</v>
      </c>
      <c r="F58" s="47">
        <v>1500</v>
      </c>
      <c r="G58" s="46"/>
      <c r="H58" s="46"/>
      <c r="I58" s="46"/>
      <c r="J58" s="48"/>
    </row>
    <row r="59" spans="2:10" x14ac:dyDescent="0.2">
      <c r="B59" s="46">
        <v>244</v>
      </c>
      <c r="C59" s="46">
        <v>4</v>
      </c>
      <c r="D59" s="46">
        <v>4</v>
      </c>
      <c r="E59" s="46">
        <v>2</v>
      </c>
      <c r="F59" s="47">
        <v>2000</v>
      </c>
      <c r="G59" s="46"/>
      <c r="H59" s="46"/>
      <c r="I59" s="46"/>
      <c r="J59" s="48"/>
    </row>
    <row r="60" spans="2:10" x14ac:dyDescent="0.2">
      <c r="B60" s="46">
        <v>245</v>
      </c>
      <c r="C60" s="46">
        <v>4</v>
      </c>
      <c r="D60" s="46">
        <v>5</v>
      </c>
      <c r="E60" s="46">
        <v>2</v>
      </c>
      <c r="F60" s="47">
        <v>4500</v>
      </c>
      <c r="G60" s="46"/>
      <c r="H60" s="46"/>
      <c r="I60" s="46"/>
      <c r="J60" s="48"/>
    </row>
    <row r="61" spans="2:10" x14ac:dyDescent="0.2">
      <c r="B61" s="46">
        <v>251</v>
      </c>
      <c r="C61" s="46">
        <v>5</v>
      </c>
      <c r="D61" s="46">
        <v>1</v>
      </c>
      <c r="E61" s="46">
        <v>2</v>
      </c>
      <c r="F61" s="47">
        <v>500</v>
      </c>
      <c r="G61" s="46"/>
      <c r="H61" s="46"/>
      <c r="I61" s="46"/>
      <c r="J61" s="48"/>
    </row>
    <row r="62" spans="2:10" x14ac:dyDescent="0.2">
      <c r="B62" s="46">
        <v>252</v>
      </c>
      <c r="C62" s="46">
        <v>5</v>
      </c>
      <c r="D62" s="46">
        <v>2</v>
      </c>
      <c r="E62" s="46">
        <v>2</v>
      </c>
      <c r="F62" s="47">
        <v>1000</v>
      </c>
      <c r="G62" s="46"/>
      <c r="H62" s="46"/>
      <c r="I62" s="46"/>
      <c r="J62" s="48"/>
    </row>
    <row r="63" spans="2:10" x14ac:dyDescent="0.2">
      <c r="B63" s="46">
        <v>253</v>
      </c>
      <c r="C63" s="46">
        <v>5</v>
      </c>
      <c r="D63" s="46">
        <v>3</v>
      </c>
      <c r="E63" s="46">
        <v>2</v>
      </c>
      <c r="F63" s="47">
        <v>2000</v>
      </c>
      <c r="G63" s="46"/>
      <c r="H63" s="46"/>
      <c r="I63" s="46"/>
      <c r="J63" s="48"/>
    </row>
    <row r="64" spans="2:10" x14ac:dyDescent="0.2">
      <c r="B64" s="46">
        <v>254</v>
      </c>
      <c r="C64" s="46">
        <v>5</v>
      </c>
      <c r="D64" s="46">
        <v>4</v>
      </c>
      <c r="E64" s="46">
        <v>2</v>
      </c>
      <c r="F64" s="47">
        <v>3000</v>
      </c>
      <c r="G64" s="46"/>
      <c r="H64" s="46"/>
      <c r="I64" s="46"/>
      <c r="J64" s="48"/>
    </row>
    <row r="65" spans="2:10" x14ac:dyDescent="0.2">
      <c r="B65" s="46">
        <v>255</v>
      </c>
      <c r="C65" s="46">
        <v>5</v>
      </c>
      <c r="D65" s="46">
        <v>5</v>
      </c>
      <c r="E65" s="46">
        <v>2</v>
      </c>
      <c r="F65" s="47">
        <v>3500</v>
      </c>
      <c r="G65" s="46"/>
      <c r="H65" s="46"/>
      <c r="I65" s="46"/>
      <c r="J65" s="48"/>
    </row>
  </sheetData>
  <phoneticPr fontId="12" type="noConversion"/>
  <pageMargins left="0.75" right="0.75" top="1" bottom="1" header="0.5" footer="0.5"/>
  <pageSetup paperSize="9" orientation="portrait"/>
  <legacy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I9"/>
  <sheetViews>
    <sheetView workbookViewId="0">
      <selection activeCell="E7" sqref="E7"/>
    </sheetView>
  </sheetViews>
  <sheetFormatPr defaultColWidth="9" defaultRowHeight="14.25" x14ac:dyDescent="0.2"/>
  <cols>
    <col min="1" max="1" width="9" style="40"/>
    <col min="3" max="3" width="37" customWidth="1"/>
    <col min="4" max="4" width="31.875" customWidth="1"/>
    <col min="5" max="5" width="24" customWidth="1"/>
    <col min="6" max="6" width="25.75" customWidth="1"/>
    <col min="7" max="7" width="25.375" customWidth="1"/>
    <col min="8" max="8" width="16.5" customWidth="1"/>
    <col min="9" max="9" width="15.875" customWidth="1"/>
  </cols>
  <sheetData>
    <row r="1" spans="1:9" x14ac:dyDescent="0.2">
      <c r="A1" s="2" t="s">
        <v>0</v>
      </c>
      <c r="B1" s="3" t="s">
        <v>1</v>
      </c>
      <c r="C1" s="4" t="s">
        <v>386</v>
      </c>
      <c r="D1" s="4" t="s">
        <v>387</v>
      </c>
      <c r="E1" s="3" t="s">
        <v>388</v>
      </c>
      <c r="F1" s="3" t="s">
        <v>389</v>
      </c>
      <c r="G1" s="3" t="s">
        <v>390</v>
      </c>
      <c r="H1" s="3" t="s">
        <v>391</v>
      </c>
      <c r="I1" s="3" t="s">
        <v>392</v>
      </c>
    </row>
    <row r="2" spans="1:9" x14ac:dyDescent="0.2">
      <c r="A2" s="2" t="s">
        <v>0</v>
      </c>
      <c r="B2" s="2"/>
      <c r="C2" s="2"/>
      <c r="D2" s="2"/>
      <c r="E2" s="2"/>
      <c r="F2" s="2"/>
      <c r="G2" s="2"/>
      <c r="H2" s="2"/>
      <c r="I2" s="2"/>
    </row>
    <row r="3" spans="1:9" x14ac:dyDescent="0.2">
      <c r="A3" s="5" t="s">
        <v>6</v>
      </c>
      <c r="B3" s="3" t="s">
        <v>7</v>
      </c>
      <c r="C3" s="3" t="s">
        <v>83</v>
      </c>
      <c r="D3" s="3" t="s">
        <v>83</v>
      </c>
      <c r="E3" s="3" t="s">
        <v>83</v>
      </c>
      <c r="F3" s="3" t="s">
        <v>83</v>
      </c>
      <c r="G3" s="3" t="s">
        <v>7</v>
      </c>
      <c r="H3" s="3" t="s">
        <v>7</v>
      </c>
      <c r="I3" s="3" t="s">
        <v>7</v>
      </c>
    </row>
    <row r="4" spans="1:9" x14ac:dyDescent="0.2">
      <c r="A4" s="5" t="s">
        <v>9</v>
      </c>
      <c r="B4" s="5"/>
      <c r="C4" s="5"/>
      <c r="D4" s="5"/>
      <c r="E4" s="5"/>
      <c r="F4" s="5"/>
      <c r="G4" s="5"/>
      <c r="H4" s="5"/>
      <c r="I4" s="5"/>
    </row>
    <row r="5" spans="1:9" x14ac:dyDescent="0.2">
      <c r="A5" s="2" t="s">
        <v>10</v>
      </c>
      <c r="B5" s="11" t="s">
        <v>393</v>
      </c>
      <c r="C5" s="6" t="s">
        <v>394</v>
      </c>
      <c r="D5" s="6" t="s">
        <v>395</v>
      </c>
      <c r="E5" s="11" t="s">
        <v>396</v>
      </c>
      <c r="F5" s="11" t="s">
        <v>397</v>
      </c>
      <c r="G5" s="11" t="s">
        <v>398</v>
      </c>
      <c r="H5" s="11" t="s">
        <v>399</v>
      </c>
      <c r="I5" s="11" t="s">
        <v>400</v>
      </c>
    </row>
    <row r="6" spans="1:9" x14ac:dyDescent="0.2">
      <c r="A6" s="1"/>
      <c r="B6" s="11">
        <v>1</v>
      </c>
      <c r="C6" s="6" t="s">
        <v>401</v>
      </c>
      <c r="D6" s="6" t="s">
        <v>402</v>
      </c>
      <c r="E6" s="6" t="s">
        <v>403</v>
      </c>
      <c r="F6" s="6" t="s">
        <v>404</v>
      </c>
      <c r="G6" s="11">
        <v>1000</v>
      </c>
      <c r="H6" s="11">
        <v>1</v>
      </c>
      <c r="I6" s="11">
        <v>0</v>
      </c>
    </row>
    <row r="7" spans="1:9" x14ac:dyDescent="0.2">
      <c r="A7" s="1"/>
      <c r="B7" s="1">
        <v>2</v>
      </c>
      <c r="C7" s="6" t="s">
        <v>405</v>
      </c>
      <c r="D7" s="6" t="s">
        <v>402</v>
      </c>
      <c r="E7" s="6" t="s">
        <v>403</v>
      </c>
      <c r="F7" s="6" t="s">
        <v>404</v>
      </c>
      <c r="G7" s="11">
        <v>0</v>
      </c>
      <c r="H7" s="1">
        <v>7</v>
      </c>
      <c r="I7" s="1">
        <v>0</v>
      </c>
    </row>
    <row r="8" spans="1:9" x14ac:dyDescent="0.2">
      <c r="A8" s="1"/>
      <c r="B8" s="1">
        <v>3</v>
      </c>
      <c r="C8" s="1">
        <v>0</v>
      </c>
      <c r="D8" s="6" t="s">
        <v>402</v>
      </c>
      <c r="E8" s="6" t="s">
        <v>403</v>
      </c>
      <c r="F8" s="6" t="s">
        <v>406</v>
      </c>
      <c r="G8" s="11">
        <v>0</v>
      </c>
      <c r="H8" s="1">
        <v>1</v>
      </c>
      <c r="I8" s="1">
        <v>30</v>
      </c>
    </row>
    <row r="9" spans="1:9" x14ac:dyDescent="0.2">
      <c r="B9" s="1"/>
      <c r="C9" s="1"/>
      <c r="D9" s="6"/>
      <c r="E9" s="6"/>
      <c r="F9" s="6"/>
      <c r="G9" s="11"/>
      <c r="H9" s="1"/>
      <c r="I9" s="1"/>
    </row>
  </sheetData>
  <phoneticPr fontId="12" type="noConversion"/>
  <pageMargins left="0.75" right="0.75" top="1" bottom="1" header="0.5" footer="0.5"/>
  <pageSetup paperSize="9" orientation="portrait"/>
  <legacy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O10"/>
  <sheetViews>
    <sheetView topLeftCell="E1" workbookViewId="0">
      <selection activeCell="H25" sqref="H25"/>
    </sheetView>
  </sheetViews>
  <sheetFormatPr defaultColWidth="9" defaultRowHeight="14.25" x14ac:dyDescent="0.2"/>
  <cols>
    <col min="1" max="2" width="9" style="1"/>
    <col min="3" max="3" width="11" style="1" customWidth="1"/>
    <col min="4" max="4" width="24.125" style="1" customWidth="1"/>
    <col min="5" max="5" width="25.625" style="1" customWidth="1"/>
    <col min="6" max="6" width="25" style="1" customWidth="1"/>
    <col min="7" max="7" width="22.75" style="1" customWidth="1"/>
    <col min="8" max="8" width="23.125" style="1" customWidth="1"/>
    <col min="9" max="9" width="18.875" style="1" customWidth="1"/>
    <col min="10" max="10" width="20.125" style="1" customWidth="1"/>
    <col min="11" max="11" width="23.375" style="1" customWidth="1"/>
    <col min="12" max="12" width="9.375" style="1"/>
    <col min="13" max="13" width="10.375" style="1"/>
    <col min="14" max="14" width="9.375" style="1"/>
    <col min="15" max="15" width="12.625" style="1"/>
    <col min="16" max="16384" width="9" style="1"/>
  </cols>
  <sheetData>
    <row r="1" spans="1:15" x14ac:dyDescent="0.2">
      <c r="A1" s="2" t="s">
        <v>0</v>
      </c>
      <c r="B1" s="3" t="s">
        <v>1</v>
      </c>
      <c r="C1" s="4" t="s">
        <v>66</v>
      </c>
      <c r="D1" s="4" t="s">
        <v>407</v>
      </c>
      <c r="E1" s="4" t="s">
        <v>408</v>
      </c>
      <c r="F1" s="3" t="s">
        <v>409</v>
      </c>
      <c r="G1" s="3" t="s">
        <v>410</v>
      </c>
      <c r="H1" s="3" t="s">
        <v>411</v>
      </c>
      <c r="I1" s="3" t="s">
        <v>128</v>
      </c>
      <c r="J1" s="3" t="s">
        <v>127</v>
      </c>
      <c r="K1" s="1" t="s">
        <v>131</v>
      </c>
    </row>
    <row r="2" spans="1:15" x14ac:dyDescent="0.2">
      <c r="A2" s="2" t="s">
        <v>0</v>
      </c>
      <c r="B2" s="2"/>
      <c r="C2" s="2"/>
      <c r="D2" s="2"/>
      <c r="E2" s="2"/>
      <c r="F2" s="2"/>
      <c r="G2" s="2"/>
      <c r="H2" s="2"/>
      <c r="I2" s="2"/>
      <c r="J2" s="2"/>
    </row>
    <row r="3" spans="1:15" x14ac:dyDescent="0.2">
      <c r="A3" s="5" t="s">
        <v>6</v>
      </c>
      <c r="B3" s="3" t="s">
        <v>7</v>
      </c>
      <c r="C3" s="3" t="s">
        <v>8</v>
      </c>
      <c r="D3" s="3" t="s">
        <v>225</v>
      </c>
      <c r="E3" s="3" t="s">
        <v>225</v>
      </c>
      <c r="F3" s="3" t="s">
        <v>225</v>
      </c>
      <c r="G3" s="3" t="s">
        <v>7</v>
      </c>
      <c r="H3" s="3" t="s">
        <v>225</v>
      </c>
      <c r="I3" s="3" t="s">
        <v>7</v>
      </c>
      <c r="J3" s="3" t="s">
        <v>7</v>
      </c>
    </row>
    <row r="4" spans="1:15" x14ac:dyDescent="0.2">
      <c r="A4" s="5" t="s">
        <v>9</v>
      </c>
      <c r="B4" s="5"/>
      <c r="C4" s="5"/>
      <c r="D4" s="5"/>
      <c r="E4" s="5"/>
      <c r="F4" s="5"/>
      <c r="G4" s="5"/>
      <c r="H4" s="5"/>
      <c r="I4" s="5"/>
      <c r="J4" s="5"/>
    </row>
    <row r="5" spans="1:15" x14ac:dyDescent="0.2">
      <c r="A5" s="2" t="s">
        <v>10</v>
      </c>
      <c r="B5" s="1" t="s">
        <v>412</v>
      </c>
      <c r="C5" s="1" t="s">
        <v>206</v>
      </c>
      <c r="D5" s="1" t="s">
        <v>413</v>
      </c>
      <c r="E5" s="1" t="s">
        <v>414</v>
      </c>
      <c r="F5" s="1" t="s">
        <v>415</v>
      </c>
      <c r="G5" s="1" t="s">
        <v>416</v>
      </c>
      <c r="H5" s="1" t="s">
        <v>417</v>
      </c>
      <c r="I5" s="1" t="s">
        <v>418</v>
      </c>
      <c r="J5" s="1" t="s">
        <v>419</v>
      </c>
    </row>
    <row r="6" spans="1:15" x14ac:dyDescent="0.2">
      <c r="B6" s="1">
        <v>1000</v>
      </c>
      <c r="C6" s="1" t="s">
        <v>420</v>
      </c>
      <c r="D6" s="19" t="s">
        <v>421</v>
      </c>
      <c r="E6" s="19" t="s">
        <v>421</v>
      </c>
      <c r="F6" s="1" t="s">
        <v>422</v>
      </c>
      <c r="G6" s="1">
        <v>600</v>
      </c>
      <c r="H6" s="19" t="s">
        <v>423</v>
      </c>
      <c r="I6" s="19" t="s">
        <v>424</v>
      </c>
      <c r="J6" s="1">
        <v>6</v>
      </c>
      <c r="K6" s="39">
        <v>0.82666666666666699</v>
      </c>
      <c r="L6" s="1">
        <f>J6*100000</f>
        <v>600000</v>
      </c>
      <c r="M6" s="1">
        <f>240000+240000+240000+240000+30000+4000</f>
        <v>994000</v>
      </c>
      <c r="N6" s="1">
        <f>M6/2</f>
        <v>497000</v>
      </c>
      <c r="O6" s="1">
        <f>M6/(L6*2)</f>
        <v>0.82833333333333337</v>
      </c>
    </row>
    <row r="7" spans="1:15" x14ac:dyDescent="0.2">
      <c r="B7" s="1">
        <v>1001</v>
      </c>
      <c r="C7" s="1" t="s">
        <v>425</v>
      </c>
      <c r="D7" s="19" t="s">
        <v>426</v>
      </c>
      <c r="E7" s="19" t="s">
        <v>426</v>
      </c>
      <c r="F7" s="1" t="s">
        <v>427</v>
      </c>
      <c r="G7" s="1">
        <v>600</v>
      </c>
      <c r="H7" s="19" t="s">
        <v>428</v>
      </c>
      <c r="I7" s="19" t="s">
        <v>429</v>
      </c>
      <c r="J7" s="1">
        <v>58</v>
      </c>
      <c r="K7" s="39">
        <v>0.83241379310344799</v>
      </c>
      <c r="L7" s="1">
        <f>J7*100000</f>
        <v>5800000</v>
      </c>
      <c r="M7" s="1">
        <f>2360000*4+10000+300000</f>
        <v>9750000</v>
      </c>
      <c r="N7" s="1">
        <f>M7/2</f>
        <v>4875000</v>
      </c>
      <c r="O7" s="1">
        <f>M7/(L7*2)</f>
        <v>0.84051724137931039</v>
      </c>
    </row>
    <row r="8" spans="1:15" x14ac:dyDescent="0.2">
      <c r="B8" s="1">
        <v>1002</v>
      </c>
      <c r="C8" s="1" t="s">
        <v>430</v>
      </c>
      <c r="D8" s="19" t="s">
        <v>431</v>
      </c>
      <c r="E8" s="19" t="s">
        <v>431</v>
      </c>
      <c r="F8" s="1" t="s">
        <v>432</v>
      </c>
      <c r="G8" s="1">
        <v>600</v>
      </c>
      <c r="H8" s="19" t="s">
        <v>347</v>
      </c>
      <c r="I8" s="19" t="s">
        <v>433</v>
      </c>
      <c r="J8" s="1">
        <v>98</v>
      </c>
      <c r="K8" s="39">
        <v>0.85510204081632701</v>
      </c>
      <c r="L8" s="1">
        <f>J8*100000</f>
        <v>9800000</v>
      </c>
      <c r="M8" s="1">
        <f>4090000*4+20000+500000</f>
        <v>16880000</v>
      </c>
      <c r="N8" s="1">
        <f>M8/2</f>
        <v>8440000</v>
      </c>
      <c r="O8" s="1">
        <f>M8/(L8*2)</f>
        <v>0.86122448979591837</v>
      </c>
    </row>
    <row r="9" spans="1:15" x14ac:dyDescent="0.2">
      <c r="B9" s="1">
        <v>1003</v>
      </c>
      <c r="C9" s="1" t="s">
        <v>434</v>
      </c>
      <c r="D9" s="19" t="s">
        <v>435</v>
      </c>
      <c r="E9" s="19" t="s">
        <v>435</v>
      </c>
      <c r="F9" s="1" t="s">
        <v>436</v>
      </c>
      <c r="G9" s="1">
        <v>600</v>
      </c>
      <c r="H9" s="19" t="s">
        <v>437</v>
      </c>
      <c r="I9" s="19" t="s">
        <v>438</v>
      </c>
      <c r="J9" s="1">
        <v>258</v>
      </c>
      <c r="K9" s="39">
        <v>0.87875968992248099</v>
      </c>
      <c r="L9" s="1">
        <f>J9*100000</f>
        <v>25800000</v>
      </c>
      <c r="M9" s="1">
        <f>11120000*4+40000+800000</f>
        <v>45320000</v>
      </c>
      <c r="N9" s="1">
        <f>M9/2</f>
        <v>22660000</v>
      </c>
      <c r="O9" s="1">
        <f>M9/(L9*2)</f>
        <v>0.8782945736434109</v>
      </c>
    </row>
    <row r="10" spans="1:15" x14ac:dyDescent="0.2">
      <c r="B10" s="1">
        <v>1004</v>
      </c>
      <c r="C10" s="1" t="s">
        <v>439</v>
      </c>
      <c r="D10" s="19" t="s">
        <v>440</v>
      </c>
      <c r="E10" s="19" t="s">
        <v>440</v>
      </c>
      <c r="F10" s="1" t="s">
        <v>441</v>
      </c>
      <c r="G10" s="1">
        <v>600</v>
      </c>
      <c r="H10" s="19" t="s">
        <v>442</v>
      </c>
      <c r="I10" s="19" t="s">
        <v>443</v>
      </c>
      <c r="J10" s="1">
        <v>588</v>
      </c>
      <c r="K10" s="39">
        <v>0.90802721088435401</v>
      </c>
      <c r="L10" s="1">
        <f>J10*100000</f>
        <v>58800000</v>
      </c>
      <c r="M10" s="1">
        <f>26120000*4+120000+1000000</f>
        <v>105600000</v>
      </c>
      <c r="N10" s="1">
        <f>M10/2</f>
        <v>52800000</v>
      </c>
      <c r="O10" s="1">
        <f>M10/(L10*2)</f>
        <v>0.89795918367346939</v>
      </c>
    </row>
  </sheetData>
  <phoneticPr fontId="12" type="noConversion"/>
  <pageMargins left="0.75" right="0.75" top="1" bottom="1" header="0.5" footer="0.5"/>
  <pageSetup paperSize="9" orientation="portrait"/>
  <ignoredErrors>
    <ignoredError sqref="I6 D11:F11 H11:J11 I7:J10" numberStoredAsText="1"/>
  </ignoredError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H12"/>
  <sheetViews>
    <sheetView workbookViewId="0">
      <selection activeCell="E16" sqref="E16"/>
    </sheetView>
  </sheetViews>
  <sheetFormatPr defaultColWidth="9" defaultRowHeight="14.25" x14ac:dyDescent="0.2"/>
  <cols>
    <col min="1" max="2" width="9" style="1"/>
    <col min="3" max="3" width="14.625" style="1" customWidth="1"/>
    <col min="4" max="4" width="29.375" style="1" customWidth="1"/>
    <col min="5" max="5" width="19.625" style="1" customWidth="1"/>
    <col min="6" max="6" width="13.75" style="1" customWidth="1"/>
    <col min="7" max="7" width="18" style="1" customWidth="1"/>
    <col min="8" max="8" width="22.5" style="1" customWidth="1"/>
    <col min="9" max="16384" width="9" style="1"/>
  </cols>
  <sheetData>
    <row r="1" spans="1:8" x14ac:dyDescent="0.2">
      <c r="A1" s="2" t="s">
        <v>0</v>
      </c>
      <c r="B1" s="3" t="s">
        <v>1</v>
      </c>
      <c r="C1" s="4" t="s">
        <v>66</v>
      </c>
      <c r="D1" s="4" t="s">
        <v>407</v>
      </c>
      <c r="E1" s="4" t="s">
        <v>444</v>
      </c>
      <c r="F1" s="4" t="s">
        <v>445</v>
      </c>
      <c r="G1" s="3" t="s">
        <v>127</v>
      </c>
      <c r="H1" s="1" t="s">
        <v>131</v>
      </c>
    </row>
    <row r="2" spans="1:8" x14ac:dyDescent="0.2">
      <c r="A2" s="2" t="s">
        <v>0</v>
      </c>
      <c r="B2" s="2"/>
      <c r="C2" s="2"/>
      <c r="D2" s="2"/>
      <c r="E2" s="2"/>
      <c r="F2" s="2"/>
      <c r="G2" s="2"/>
    </row>
    <row r="3" spans="1:8" x14ac:dyDescent="0.2">
      <c r="A3" s="5" t="s">
        <v>6</v>
      </c>
      <c r="B3" s="3" t="s">
        <v>7</v>
      </c>
      <c r="C3" s="3" t="s">
        <v>8</v>
      </c>
      <c r="D3" s="4" t="s">
        <v>225</v>
      </c>
      <c r="E3" s="3" t="s">
        <v>7</v>
      </c>
      <c r="F3" s="3" t="s">
        <v>7</v>
      </c>
      <c r="G3" s="3" t="s">
        <v>7</v>
      </c>
    </row>
    <row r="4" spans="1:8" x14ac:dyDescent="0.2">
      <c r="A4" s="5" t="s">
        <v>9</v>
      </c>
      <c r="B4" s="5"/>
      <c r="C4" s="5"/>
      <c r="D4" s="5"/>
      <c r="E4" s="5"/>
      <c r="F4" s="5"/>
      <c r="G4" s="5"/>
    </row>
    <row r="5" spans="1:8" x14ac:dyDescent="0.2">
      <c r="A5" s="2" t="s">
        <v>10</v>
      </c>
      <c r="B5" s="1" t="s">
        <v>412</v>
      </c>
      <c r="C5" s="1" t="s">
        <v>206</v>
      </c>
      <c r="D5" s="1" t="s">
        <v>413</v>
      </c>
      <c r="E5" s="1" t="s">
        <v>446</v>
      </c>
      <c r="F5" s="1" t="s">
        <v>447</v>
      </c>
      <c r="G5" s="1" t="s">
        <v>448</v>
      </c>
    </row>
    <row r="6" spans="1:8" ht="15.75" x14ac:dyDescent="0.25">
      <c r="B6" s="1">
        <v>10000</v>
      </c>
      <c r="C6" s="1" t="s">
        <v>449</v>
      </c>
      <c r="D6" s="19" t="s">
        <v>450</v>
      </c>
      <c r="E6" s="1">
        <v>47800</v>
      </c>
      <c r="F6" s="1">
        <v>7</v>
      </c>
      <c r="G6" s="1">
        <v>6</v>
      </c>
      <c r="H6" s="38">
        <v>0.83</v>
      </c>
    </row>
    <row r="7" spans="1:8" ht="15.75" x14ac:dyDescent="0.25">
      <c r="B7" s="1">
        <v>10001</v>
      </c>
      <c r="C7" s="1" t="s">
        <v>451</v>
      </c>
      <c r="D7" s="19" t="s">
        <v>452</v>
      </c>
      <c r="E7" s="1">
        <v>319200</v>
      </c>
      <c r="F7" s="1">
        <v>7</v>
      </c>
      <c r="G7" s="1">
        <v>38</v>
      </c>
      <c r="H7" s="38">
        <v>0.826315789473684</v>
      </c>
    </row>
    <row r="8" spans="1:8" ht="15.75" x14ac:dyDescent="0.25">
      <c r="B8" s="1">
        <v>10002</v>
      </c>
      <c r="C8" s="1" t="s">
        <v>453</v>
      </c>
      <c r="D8" s="19" t="s">
        <v>454</v>
      </c>
      <c r="E8" s="1">
        <v>462400</v>
      </c>
      <c r="F8" s="1">
        <v>7</v>
      </c>
      <c r="G8" s="1">
        <v>68</v>
      </c>
      <c r="H8" s="38">
        <v>0.84117647058823497</v>
      </c>
    </row>
    <row r="9" spans="1:8" ht="15.75" x14ac:dyDescent="0.25">
      <c r="B9" s="1">
        <v>10003</v>
      </c>
      <c r="C9" s="1" t="s">
        <v>455</v>
      </c>
      <c r="D9" s="19" t="s">
        <v>456</v>
      </c>
      <c r="E9" s="1">
        <v>691200</v>
      </c>
      <c r="F9" s="1">
        <v>7</v>
      </c>
      <c r="G9" s="1">
        <v>128</v>
      </c>
      <c r="H9" s="38">
        <v>0.859375</v>
      </c>
    </row>
    <row r="10" spans="1:8" ht="15.75" x14ac:dyDescent="0.25">
      <c r="B10" s="1">
        <v>10004</v>
      </c>
      <c r="C10" s="1" t="s">
        <v>457</v>
      </c>
      <c r="D10" s="19" t="s">
        <v>458</v>
      </c>
      <c r="E10" s="1">
        <v>1629600</v>
      </c>
      <c r="F10" s="1">
        <v>7</v>
      </c>
      <c r="G10" s="1">
        <v>388</v>
      </c>
      <c r="H10" s="38">
        <v>0.87989690721649505</v>
      </c>
    </row>
    <row r="11" spans="1:8" ht="15.75" x14ac:dyDescent="0.25">
      <c r="B11" s="1">
        <v>10005</v>
      </c>
      <c r="C11" s="1" t="s">
        <v>459</v>
      </c>
      <c r="D11" s="19" t="s">
        <v>460</v>
      </c>
      <c r="E11" s="1">
        <v>2940000</v>
      </c>
      <c r="F11" s="1">
        <v>7</v>
      </c>
      <c r="G11" s="1">
        <v>588</v>
      </c>
      <c r="H11" s="38">
        <v>0.9</v>
      </c>
    </row>
    <row r="12" spans="1:8" ht="15.75" x14ac:dyDescent="0.25">
      <c r="B12" s="1">
        <v>10006</v>
      </c>
      <c r="C12" s="1" t="s">
        <v>461</v>
      </c>
      <c r="D12" s="19" t="s">
        <v>462</v>
      </c>
      <c r="E12" s="1">
        <v>5150400</v>
      </c>
      <c r="F12" s="1">
        <v>7</v>
      </c>
      <c r="G12" s="1">
        <v>888</v>
      </c>
      <c r="H12" s="38">
        <v>0.92004504504504503</v>
      </c>
    </row>
  </sheetData>
  <phoneticPr fontId="12" type="noConversion"/>
  <pageMargins left="0.75" right="0.75" top="1" bottom="1" header="0.5" footer="0.5"/>
  <pageSetup paperSize="9" orientation="portrait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E54"/>
  <sheetViews>
    <sheetView workbookViewId="0">
      <selection activeCell="E4" sqref="E1:E1048576"/>
    </sheetView>
  </sheetViews>
  <sheetFormatPr defaultColWidth="9" defaultRowHeight="14.25" x14ac:dyDescent="0.2"/>
  <cols>
    <col min="1" max="2" width="9" style="1"/>
    <col min="3" max="3" width="38.625" style="1" customWidth="1"/>
    <col min="4" max="4" width="17.75" style="1" customWidth="1"/>
    <col min="5" max="5" width="22.75" style="1" customWidth="1"/>
    <col min="6" max="16384" width="9" style="1"/>
  </cols>
  <sheetData>
    <row r="1" spans="1:5" x14ac:dyDescent="0.2">
      <c r="A1" s="2" t="s">
        <v>0</v>
      </c>
      <c r="B1" s="3" t="s">
        <v>1</v>
      </c>
      <c r="C1" s="4" t="s">
        <v>463</v>
      </c>
      <c r="D1" s="4" t="s">
        <v>464</v>
      </c>
      <c r="E1" s="3" t="s">
        <v>127</v>
      </c>
    </row>
    <row r="2" spans="1:5" x14ac:dyDescent="0.2">
      <c r="A2" s="2" t="s">
        <v>0</v>
      </c>
      <c r="B2" s="2"/>
      <c r="C2" s="2"/>
      <c r="D2" s="2"/>
      <c r="E2" s="2"/>
    </row>
    <row r="3" spans="1:5" x14ac:dyDescent="0.2">
      <c r="A3" s="5" t="s">
        <v>6</v>
      </c>
      <c r="B3" s="3" t="s">
        <v>7</v>
      </c>
      <c r="C3" s="3" t="s">
        <v>8</v>
      </c>
      <c r="D3" s="3" t="s">
        <v>7</v>
      </c>
      <c r="E3" s="4" t="s">
        <v>225</v>
      </c>
    </row>
    <row r="4" spans="1:5" x14ac:dyDescent="0.2">
      <c r="A4" s="5" t="s">
        <v>9</v>
      </c>
      <c r="B4" s="5"/>
      <c r="C4" s="5"/>
      <c r="D4" s="5"/>
      <c r="E4" s="5"/>
    </row>
    <row r="5" spans="1:5" x14ac:dyDescent="0.2">
      <c r="A5" s="2" t="s">
        <v>10</v>
      </c>
      <c r="B5" s="1" t="s">
        <v>264</v>
      </c>
      <c r="C5" s="1" t="s">
        <v>265</v>
      </c>
      <c r="D5" s="1" t="s">
        <v>447</v>
      </c>
      <c r="E5" s="1" t="s">
        <v>465</v>
      </c>
    </row>
    <row r="6" spans="1:5" x14ac:dyDescent="0.2">
      <c r="B6" s="1">
        <v>1000</v>
      </c>
      <c r="C6" s="1" t="s">
        <v>466</v>
      </c>
      <c r="D6" s="1">
        <v>40000</v>
      </c>
      <c r="E6" s="19" t="s">
        <v>467</v>
      </c>
    </row>
    <row r="7" spans="1:5" x14ac:dyDescent="0.2">
      <c r="B7" s="1">
        <v>1001</v>
      </c>
      <c r="C7" s="1" t="s">
        <v>468</v>
      </c>
      <c r="D7" s="1">
        <v>100000</v>
      </c>
      <c r="E7" s="19" t="s">
        <v>469</v>
      </c>
    </row>
    <row r="8" spans="1:5" x14ac:dyDescent="0.2">
      <c r="B8" s="1">
        <v>1002</v>
      </c>
      <c r="C8" s="1" t="s">
        <v>470</v>
      </c>
      <c r="D8" s="1">
        <v>300000</v>
      </c>
      <c r="E8" s="19" t="s">
        <v>471</v>
      </c>
    </row>
    <row r="9" spans="1:5" x14ac:dyDescent="0.2">
      <c r="B9" s="1">
        <v>1003</v>
      </c>
      <c r="C9" s="1" t="s">
        <v>472</v>
      </c>
      <c r="D9" s="1">
        <v>960000</v>
      </c>
      <c r="E9" s="19" t="s">
        <v>473</v>
      </c>
    </row>
    <row r="10" spans="1:5" x14ac:dyDescent="0.2">
      <c r="B10" s="1">
        <v>1004</v>
      </c>
      <c r="C10" s="1" t="s">
        <v>474</v>
      </c>
      <c r="D10" s="1">
        <v>1920000</v>
      </c>
      <c r="E10" s="19" t="s">
        <v>475</v>
      </c>
    </row>
    <row r="11" spans="1:5" x14ac:dyDescent="0.2">
      <c r="B11" s="1">
        <v>1005</v>
      </c>
      <c r="C11" s="1" t="s">
        <v>476</v>
      </c>
      <c r="D11" s="1">
        <v>3000000</v>
      </c>
      <c r="E11" s="19" t="s">
        <v>477</v>
      </c>
    </row>
    <row r="12" spans="1:5" x14ac:dyDescent="0.2">
      <c r="B12" s="1">
        <v>1006</v>
      </c>
      <c r="C12" s="1" t="s">
        <v>478</v>
      </c>
      <c r="D12" s="1">
        <v>4000000</v>
      </c>
      <c r="E12" s="19" t="s">
        <v>348</v>
      </c>
    </row>
    <row r="13" spans="1:5" x14ac:dyDescent="0.2">
      <c r="B13" s="1">
        <v>2000</v>
      </c>
      <c r="C13" s="1" t="s">
        <v>468</v>
      </c>
      <c r="D13" s="1">
        <v>100000</v>
      </c>
      <c r="E13" s="19" t="s">
        <v>477</v>
      </c>
    </row>
    <row r="14" spans="1:5" x14ac:dyDescent="0.2">
      <c r="B14" s="1">
        <v>2001</v>
      </c>
      <c r="C14" s="1" t="s">
        <v>479</v>
      </c>
      <c r="D14" s="1">
        <v>200000</v>
      </c>
      <c r="E14" s="19" t="s">
        <v>480</v>
      </c>
    </row>
    <row r="15" spans="1:5" x14ac:dyDescent="0.2">
      <c r="B15" s="1">
        <v>2002</v>
      </c>
      <c r="C15" s="1" t="s">
        <v>481</v>
      </c>
      <c r="D15" s="1">
        <v>400000</v>
      </c>
      <c r="E15" s="19" t="s">
        <v>423</v>
      </c>
    </row>
    <row r="16" spans="1:5" x14ac:dyDescent="0.2">
      <c r="B16" s="1">
        <v>2003</v>
      </c>
      <c r="C16" s="1" t="s">
        <v>482</v>
      </c>
      <c r="D16" s="1">
        <v>1000000</v>
      </c>
      <c r="E16" s="19" t="s">
        <v>352</v>
      </c>
    </row>
    <row r="17" spans="2:5" x14ac:dyDescent="0.2">
      <c r="B17" s="1">
        <v>2004</v>
      </c>
      <c r="C17" s="1" t="s">
        <v>483</v>
      </c>
      <c r="D17" s="1">
        <v>2000000</v>
      </c>
      <c r="E17" s="19" t="s">
        <v>484</v>
      </c>
    </row>
    <row r="18" spans="2:5" x14ac:dyDescent="0.2">
      <c r="B18" s="1">
        <v>2005</v>
      </c>
      <c r="C18" s="1" t="s">
        <v>478</v>
      </c>
      <c r="D18" s="1">
        <v>4000000</v>
      </c>
      <c r="E18" s="19" t="s">
        <v>485</v>
      </c>
    </row>
    <row r="19" spans="2:5" x14ac:dyDescent="0.2">
      <c r="B19" s="1">
        <v>2006</v>
      </c>
      <c r="C19" s="1" t="s">
        <v>486</v>
      </c>
      <c r="D19" s="1">
        <v>10000000</v>
      </c>
      <c r="E19" s="19" t="s">
        <v>487</v>
      </c>
    </row>
    <row r="20" spans="2:5" x14ac:dyDescent="0.2">
      <c r="B20" s="1">
        <v>3000</v>
      </c>
      <c r="C20" s="1" t="s">
        <v>479</v>
      </c>
      <c r="D20" s="1">
        <v>200000</v>
      </c>
      <c r="E20" s="19" t="s">
        <v>488</v>
      </c>
    </row>
    <row r="21" spans="2:5" x14ac:dyDescent="0.2">
      <c r="B21" s="1">
        <v>3001</v>
      </c>
      <c r="C21" s="1" t="s">
        <v>481</v>
      </c>
      <c r="D21" s="1">
        <v>400000</v>
      </c>
      <c r="E21" s="19" t="s">
        <v>348</v>
      </c>
    </row>
    <row r="22" spans="2:5" x14ac:dyDescent="0.2">
      <c r="B22" s="1">
        <v>3002</v>
      </c>
      <c r="C22" s="1" t="s">
        <v>482</v>
      </c>
      <c r="D22" s="1">
        <v>1000000</v>
      </c>
      <c r="E22" s="19" t="s">
        <v>484</v>
      </c>
    </row>
    <row r="23" spans="2:5" x14ac:dyDescent="0.2">
      <c r="B23" s="1">
        <v>3003</v>
      </c>
      <c r="C23" s="1" t="s">
        <v>483</v>
      </c>
      <c r="D23" s="1">
        <v>2000000</v>
      </c>
      <c r="E23" s="19" t="s">
        <v>356</v>
      </c>
    </row>
    <row r="24" spans="2:5" x14ac:dyDescent="0.2">
      <c r="B24" s="1">
        <v>3004</v>
      </c>
      <c r="C24" s="1" t="s">
        <v>489</v>
      </c>
      <c r="D24" s="1">
        <v>3600000</v>
      </c>
      <c r="E24" s="19" t="s">
        <v>490</v>
      </c>
    </row>
    <row r="25" spans="2:5" x14ac:dyDescent="0.2">
      <c r="B25" s="1">
        <v>3005</v>
      </c>
      <c r="C25" s="1" t="s">
        <v>491</v>
      </c>
      <c r="D25" s="1">
        <v>7600000</v>
      </c>
      <c r="E25" s="19" t="s">
        <v>492</v>
      </c>
    </row>
    <row r="26" spans="2:5" x14ac:dyDescent="0.2">
      <c r="B26" s="1">
        <v>3006</v>
      </c>
      <c r="C26" s="1" t="s">
        <v>493</v>
      </c>
      <c r="D26" s="1">
        <v>13600000</v>
      </c>
      <c r="E26" s="19" t="s">
        <v>494</v>
      </c>
    </row>
    <row r="27" spans="2:5" x14ac:dyDescent="0.2">
      <c r="B27" s="1">
        <v>4000</v>
      </c>
      <c r="C27" s="1" t="s">
        <v>470</v>
      </c>
      <c r="D27" s="1">
        <v>300000</v>
      </c>
      <c r="E27" s="19" t="s">
        <v>348</v>
      </c>
    </row>
    <row r="28" spans="2:5" x14ac:dyDescent="0.2">
      <c r="B28" s="1">
        <v>4001</v>
      </c>
      <c r="C28" s="1" t="s">
        <v>495</v>
      </c>
      <c r="D28" s="1">
        <v>600000</v>
      </c>
      <c r="E28" s="19" t="s">
        <v>496</v>
      </c>
    </row>
    <row r="29" spans="2:5" x14ac:dyDescent="0.2">
      <c r="B29" s="1">
        <v>4002</v>
      </c>
      <c r="C29" s="1" t="s">
        <v>497</v>
      </c>
      <c r="D29" s="1">
        <v>1600000</v>
      </c>
      <c r="E29" s="19" t="s">
        <v>356</v>
      </c>
    </row>
    <row r="30" spans="2:5" x14ac:dyDescent="0.2">
      <c r="B30" s="1">
        <v>4003</v>
      </c>
      <c r="C30" s="1" t="s">
        <v>478</v>
      </c>
      <c r="D30" s="1">
        <v>4000000</v>
      </c>
      <c r="E30" s="19" t="s">
        <v>498</v>
      </c>
    </row>
    <row r="31" spans="2:5" x14ac:dyDescent="0.2">
      <c r="B31" s="1">
        <v>4004</v>
      </c>
      <c r="C31" s="1" t="s">
        <v>499</v>
      </c>
      <c r="D31" s="1">
        <v>16000000</v>
      </c>
      <c r="E31" s="19" t="s">
        <v>500</v>
      </c>
    </row>
    <row r="32" spans="2:5" x14ac:dyDescent="0.2">
      <c r="B32" s="1">
        <v>4005</v>
      </c>
      <c r="C32" s="1" t="s">
        <v>501</v>
      </c>
      <c r="D32" s="1">
        <v>24000000</v>
      </c>
      <c r="E32" s="19" t="s">
        <v>502</v>
      </c>
    </row>
    <row r="33" spans="2:5" x14ac:dyDescent="0.2">
      <c r="B33" s="1">
        <v>4006</v>
      </c>
      <c r="C33" s="1" t="s">
        <v>503</v>
      </c>
      <c r="D33" s="1">
        <v>30000000</v>
      </c>
      <c r="E33" s="19" t="s">
        <v>504</v>
      </c>
    </row>
    <row r="34" spans="2:5" x14ac:dyDescent="0.2">
      <c r="B34" s="1">
        <v>5000</v>
      </c>
      <c r="C34" s="1" t="s">
        <v>505</v>
      </c>
      <c r="D34" s="1">
        <v>760000</v>
      </c>
      <c r="E34" s="19" t="s">
        <v>506</v>
      </c>
    </row>
    <row r="35" spans="2:5" x14ac:dyDescent="0.2">
      <c r="B35" s="1">
        <v>5001</v>
      </c>
      <c r="C35" s="1" t="s">
        <v>507</v>
      </c>
      <c r="D35" s="1">
        <v>1760000</v>
      </c>
      <c r="E35" s="19" t="s">
        <v>498</v>
      </c>
    </row>
    <row r="36" spans="2:5" x14ac:dyDescent="0.2">
      <c r="B36" s="1">
        <v>5002</v>
      </c>
      <c r="C36" s="1" t="s">
        <v>508</v>
      </c>
      <c r="D36" s="1">
        <v>5160000</v>
      </c>
      <c r="E36" s="19" t="s">
        <v>500</v>
      </c>
    </row>
    <row r="37" spans="2:5" x14ac:dyDescent="0.2">
      <c r="B37" s="1">
        <v>5003</v>
      </c>
      <c r="C37" s="1" t="s">
        <v>509</v>
      </c>
      <c r="D37" s="1">
        <v>11760000</v>
      </c>
      <c r="E37" s="19" t="s">
        <v>510</v>
      </c>
    </row>
    <row r="38" spans="2:5" x14ac:dyDescent="0.2">
      <c r="B38" s="1">
        <v>5004</v>
      </c>
      <c r="C38" s="1" t="s">
        <v>511</v>
      </c>
      <c r="D38" s="1">
        <v>17760000</v>
      </c>
      <c r="E38" s="19" t="s">
        <v>421</v>
      </c>
    </row>
    <row r="39" spans="2:5" x14ac:dyDescent="0.2">
      <c r="B39" s="1">
        <v>5005</v>
      </c>
      <c r="C39" s="1" t="s">
        <v>512</v>
      </c>
      <c r="D39" s="1">
        <v>27600000</v>
      </c>
      <c r="E39" s="19" t="s">
        <v>513</v>
      </c>
    </row>
    <row r="40" spans="2:5" x14ac:dyDescent="0.2">
      <c r="B40" s="1">
        <v>5006</v>
      </c>
      <c r="C40" s="1" t="s">
        <v>514</v>
      </c>
      <c r="D40" s="1">
        <v>57600000</v>
      </c>
      <c r="E40" s="19" t="s">
        <v>515</v>
      </c>
    </row>
    <row r="41" spans="2:5" x14ac:dyDescent="0.2">
      <c r="B41" s="1">
        <v>6000</v>
      </c>
      <c r="C41" s="1" t="s">
        <v>516</v>
      </c>
      <c r="D41" s="1">
        <v>1160000</v>
      </c>
      <c r="E41" s="19" t="s">
        <v>517</v>
      </c>
    </row>
    <row r="42" spans="2:5" x14ac:dyDescent="0.2">
      <c r="B42" s="1">
        <v>6001</v>
      </c>
      <c r="C42" s="1" t="s">
        <v>518</v>
      </c>
      <c r="D42" s="1">
        <v>2160000</v>
      </c>
      <c r="E42" s="19" t="s">
        <v>519</v>
      </c>
    </row>
    <row r="43" spans="2:5" x14ac:dyDescent="0.2">
      <c r="B43" s="1">
        <v>6002</v>
      </c>
      <c r="C43" s="1" t="s">
        <v>520</v>
      </c>
      <c r="D43" s="1">
        <v>7760000</v>
      </c>
      <c r="E43" s="19" t="s">
        <v>521</v>
      </c>
    </row>
    <row r="44" spans="2:5" x14ac:dyDescent="0.2">
      <c r="B44" s="1">
        <v>6003</v>
      </c>
      <c r="C44" s="1" t="s">
        <v>522</v>
      </c>
      <c r="D44" s="1">
        <v>15760000</v>
      </c>
      <c r="E44" s="19" t="s">
        <v>523</v>
      </c>
    </row>
    <row r="45" spans="2:5" x14ac:dyDescent="0.2">
      <c r="B45" s="1">
        <v>6004</v>
      </c>
      <c r="C45" s="1" t="s">
        <v>524</v>
      </c>
      <c r="D45" s="1">
        <v>25760000</v>
      </c>
      <c r="E45" s="19" t="s">
        <v>525</v>
      </c>
    </row>
    <row r="46" spans="2:5" x14ac:dyDescent="0.2">
      <c r="B46" s="1">
        <v>6005</v>
      </c>
      <c r="C46" s="1" t="s">
        <v>526</v>
      </c>
      <c r="D46" s="1">
        <v>37600000</v>
      </c>
      <c r="E46" s="19" t="s">
        <v>527</v>
      </c>
    </row>
    <row r="47" spans="2:5" x14ac:dyDescent="0.2">
      <c r="B47" s="1">
        <v>6006</v>
      </c>
      <c r="C47" s="1" t="s">
        <v>528</v>
      </c>
      <c r="D47" s="1">
        <v>77600000</v>
      </c>
      <c r="E47" s="19" t="s">
        <v>529</v>
      </c>
    </row>
    <row r="48" spans="2:5" x14ac:dyDescent="0.2">
      <c r="B48" s="1">
        <v>7000</v>
      </c>
      <c r="C48" s="1" t="s">
        <v>507</v>
      </c>
      <c r="D48" s="1">
        <v>1760000</v>
      </c>
      <c r="E48" s="19" t="s">
        <v>492</v>
      </c>
    </row>
    <row r="49" spans="2:5" x14ac:dyDescent="0.2">
      <c r="B49" s="1">
        <v>7001</v>
      </c>
      <c r="C49" s="1" t="s">
        <v>530</v>
      </c>
      <c r="D49" s="1">
        <v>4160000</v>
      </c>
      <c r="E49" s="19" t="s">
        <v>531</v>
      </c>
    </row>
    <row r="50" spans="2:5" x14ac:dyDescent="0.2">
      <c r="B50" s="1">
        <v>7002</v>
      </c>
      <c r="C50" s="1" t="s">
        <v>532</v>
      </c>
      <c r="D50" s="1">
        <v>11360000</v>
      </c>
      <c r="E50" s="19" t="s">
        <v>533</v>
      </c>
    </row>
    <row r="51" spans="2:5" x14ac:dyDescent="0.2">
      <c r="B51" s="1">
        <v>7003</v>
      </c>
      <c r="C51" s="1" t="s">
        <v>534</v>
      </c>
      <c r="D51" s="1">
        <v>31760000</v>
      </c>
      <c r="E51" s="19" t="s">
        <v>535</v>
      </c>
    </row>
    <row r="52" spans="2:5" x14ac:dyDescent="0.2">
      <c r="B52" s="1">
        <v>7004</v>
      </c>
      <c r="C52" s="1" t="s">
        <v>536</v>
      </c>
      <c r="D52" s="1">
        <v>59600000</v>
      </c>
      <c r="E52" s="19" t="s">
        <v>537</v>
      </c>
    </row>
    <row r="53" spans="2:5" x14ac:dyDescent="0.2">
      <c r="B53" s="1">
        <v>7005</v>
      </c>
      <c r="C53" s="1" t="s">
        <v>538</v>
      </c>
      <c r="D53" s="1">
        <v>136000000</v>
      </c>
      <c r="E53" s="19" t="s">
        <v>539</v>
      </c>
    </row>
    <row r="54" spans="2:5" x14ac:dyDescent="0.2">
      <c r="B54" s="1">
        <v>7006</v>
      </c>
      <c r="C54" s="1" t="s">
        <v>540</v>
      </c>
      <c r="D54" s="1">
        <v>400000000</v>
      </c>
      <c r="E54" s="19" t="s">
        <v>541</v>
      </c>
    </row>
  </sheetData>
  <phoneticPr fontId="12" type="noConversion"/>
  <pageMargins left="0.75" right="0.75" top="1" bottom="1" header="0.5" footer="0.5"/>
  <pageSetup paperSize="9" orientation="portrait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G17"/>
  <sheetViews>
    <sheetView workbookViewId="0">
      <selection sqref="A1:F8"/>
    </sheetView>
  </sheetViews>
  <sheetFormatPr defaultColWidth="9" defaultRowHeight="14.25" x14ac:dyDescent="0.2"/>
  <cols>
    <col min="1" max="1" width="9" style="1"/>
    <col min="2" max="2" width="12.75" style="1" customWidth="1"/>
    <col min="3" max="3" width="21.75" style="1" customWidth="1"/>
    <col min="4" max="4" width="25.625" style="1" customWidth="1"/>
    <col min="5" max="5" width="19.25" style="1" customWidth="1"/>
    <col min="6" max="6" width="19.125" style="1" customWidth="1"/>
    <col min="7" max="7" width="9.375" style="1"/>
    <col min="8" max="16384" width="9" style="1"/>
  </cols>
  <sheetData>
    <row r="1" spans="1:7" x14ac:dyDescent="0.2">
      <c r="A1" s="2" t="s">
        <v>0</v>
      </c>
      <c r="B1" s="3" t="s">
        <v>1</v>
      </c>
      <c r="C1" s="4" t="s">
        <v>66</v>
      </c>
      <c r="D1" s="4" t="s">
        <v>542</v>
      </c>
      <c r="E1" s="4" t="s">
        <v>543</v>
      </c>
      <c r="F1" s="3" t="s">
        <v>127</v>
      </c>
    </row>
    <row r="2" spans="1:7" x14ac:dyDescent="0.2">
      <c r="A2" s="2" t="s">
        <v>0</v>
      </c>
      <c r="B2" s="2"/>
      <c r="C2" s="2"/>
      <c r="D2" s="2"/>
      <c r="E2" s="2"/>
      <c r="F2" s="2"/>
    </row>
    <row r="3" spans="1:7" x14ac:dyDescent="0.2">
      <c r="A3" s="5" t="s">
        <v>6</v>
      </c>
      <c r="B3" s="3" t="s">
        <v>7</v>
      </c>
      <c r="C3" s="3" t="s">
        <v>8</v>
      </c>
      <c r="D3" s="4" t="s">
        <v>225</v>
      </c>
      <c r="E3" s="3" t="s">
        <v>7</v>
      </c>
      <c r="F3" s="3" t="s">
        <v>7</v>
      </c>
    </row>
    <row r="4" spans="1:7" x14ac:dyDescent="0.2">
      <c r="A4" s="5" t="s">
        <v>9</v>
      </c>
      <c r="B4" s="5"/>
      <c r="C4" s="5"/>
      <c r="D4" s="5"/>
      <c r="E4" s="5"/>
      <c r="F4" s="5"/>
    </row>
    <row r="5" spans="1:7" x14ac:dyDescent="0.2">
      <c r="A5" s="2" t="s">
        <v>10</v>
      </c>
      <c r="B5" s="1" t="s">
        <v>412</v>
      </c>
      <c r="C5" s="1" t="s">
        <v>206</v>
      </c>
      <c r="D5" s="1" t="s">
        <v>544</v>
      </c>
      <c r="E5" s="1" t="s">
        <v>545</v>
      </c>
      <c r="F5" s="1" t="s">
        <v>448</v>
      </c>
    </row>
    <row r="6" spans="1:7" x14ac:dyDescent="0.2">
      <c r="B6" s="1">
        <v>100</v>
      </c>
      <c r="C6" s="1" t="s">
        <v>546</v>
      </c>
      <c r="D6" s="6" t="s">
        <v>547</v>
      </c>
      <c r="E6" s="1">
        <v>11</v>
      </c>
      <c r="F6" s="1">
        <v>58</v>
      </c>
      <c r="G6" s="1">
        <f>F6*100000*0.9</f>
        <v>5220000</v>
      </c>
    </row>
    <row r="7" spans="1:7" x14ac:dyDescent="0.2">
      <c r="B7" s="1">
        <v>101</v>
      </c>
      <c r="C7" s="1" t="s">
        <v>548</v>
      </c>
      <c r="D7" s="6" t="s">
        <v>549</v>
      </c>
      <c r="E7" s="1">
        <v>20</v>
      </c>
      <c r="F7" s="1">
        <v>388</v>
      </c>
      <c r="G7" s="1">
        <f>F7*100000*0.9</f>
        <v>34920000</v>
      </c>
    </row>
    <row r="8" spans="1:7" x14ac:dyDescent="0.2">
      <c r="B8" s="1">
        <v>102</v>
      </c>
      <c r="C8" s="1" t="s">
        <v>550</v>
      </c>
      <c r="D8" s="6" t="s">
        <v>551</v>
      </c>
      <c r="E8" s="1">
        <v>28</v>
      </c>
      <c r="F8" s="1">
        <v>588</v>
      </c>
      <c r="G8" s="1">
        <f>F8*100000*0.9</f>
        <v>52920000</v>
      </c>
    </row>
    <row r="9" spans="1:7" x14ac:dyDescent="0.2">
      <c r="D9" s="19"/>
    </row>
    <row r="10" spans="1:7" x14ac:dyDescent="0.2">
      <c r="D10" s="19"/>
    </row>
    <row r="11" spans="1:7" x14ac:dyDescent="0.2">
      <c r="D11" s="19"/>
    </row>
    <row r="12" spans="1:7" x14ac:dyDescent="0.2">
      <c r="D12" s="19"/>
    </row>
    <row r="13" spans="1:7" x14ac:dyDescent="0.2">
      <c r="D13" s="19"/>
    </row>
    <row r="14" spans="1:7" x14ac:dyDescent="0.2">
      <c r="D14" s="19"/>
    </row>
    <row r="15" spans="1:7" x14ac:dyDescent="0.2">
      <c r="D15" s="19"/>
    </row>
    <row r="16" spans="1:7" x14ac:dyDescent="0.2">
      <c r="D16" s="19"/>
    </row>
    <row r="17" spans="4:4" x14ac:dyDescent="0.2">
      <c r="D17" s="19"/>
    </row>
  </sheetData>
  <phoneticPr fontId="12" type="noConversion"/>
  <pageMargins left="0.75" right="0.75" top="1" bottom="1" header="0.5" footer="0.5"/>
  <pageSetup paperSize="9" orientation="portrait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J33"/>
  <sheetViews>
    <sheetView workbookViewId="0">
      <selection activeCell="B37" sqref="B37"/>
    </sheetView>
  </sheetViews>
  <sheetFormatPr defaultColWidth="9" defaultRowHeight="14.25" x14ac:dyDescent="0.2"/>
  <cols>
    <col min="1" max="1" width="9" style="1"/>
    <col min="2" max="3" width="15" style="1" customWidth="1"/>
    <col min="4" max="5" width="27.75" style="1" customWidth="1"/>
    <col min="6" max="6" width="19" style="1" customWidth="1"/>
    <col min="7" max="8" width="15" style="1" customWidth="1"/>
    <col min="9" max="9" width="20.875" style="1" customWidth="1"/>
    <col min="10" max="10" width="34.5" style="1" customWidth="1"/>
    <col min="11" max="11" width="9.375" style="1"/>
    <col min="12" max="16384" width="9" style="1"/>
  </cols>
  <sheetData>
    <row r="1" spans="1:10" x14ac:dyDescent="0.2">
      <c r="A1" s="2" t="s">
        <v>0</v>
      </c>
      <c r="B1" s="3" t="s">
        <v>1</v>
      </c>
      <c r="C1" s="3" t="s">
        <v>66</v>
      </c>
      <c r="D1" s="3" t="s">
        <v>262</v>
      </c>
      <c r="E1" s="3" t="s">
        <v>552</v>
      </c>
      <c r="F1" s="3" t="s">
        <v>553</v>
      </c>
      <c r="G1" s="36" t="s">
        <v>554</v>
      </c>
      <c r="H1" s="4" t="s">
        <v>543</v>
      </c>
      <c r="I1" s="4" t="s">
        <v>555</v>
      </c>
      <c r="J1" s="37" t="s">
        <v>556</v>
      </c>
    </row>
    <row r="2" spans="1:10" x14ac:dyDescent="0.2">
      <c r="A2" s="2" t="s">
        <v>0</v>
      </c>
      <c r="B2" s="2"/>
      <c r="C2" s="2"/>
      <c r="D2" s="2"/>
      <c r="E2" s="2"/>
      <c r="F2" s="2"/>
      <c r="G2" s="2"/>
      <c r="H2" s="2"/>
      <c r="I2" s="2"/>
      <c r="J2" s="2"/>
    </row>
    <row r="3" spans="1:10" x14ac:dyDescent="0.2">
      <c r="A3" s="5" t="s">
        <v>6</v>
      </c>
      <c r="B3" s="3" t="s">
        <v>7</v>
      </c>
      <c r="C3" s="3" t="s">
        <v>8</v>
      </c>
      <c r="D3" s="3" t="s">
        <v>8</v>
      </c>
      <c r="E3" s="3" t="s">
        <v>7</v>
      </c>
      <c r="F3" s="3" t="s">
        <v>7</v>
      </c>
      <c r="G3" s="3" t="s">
        <v>7</v>
      </c>
      <c r="H3" s="3" t="s">
        <v>7</v>
      </c>
      <c r="I3" s="3" t="s">
        <v>8</v>
      </c>
      <c r="J3" s="3" t="s">
        <v>7</v>
      </c>
    </row>
    <row r="4" spans="1:10" x14ac:dyDescent="0.2">
      <c r="A4" s="5" t="s">
        <v>9</v>
      </c>
      <c r="B4" s="5"/>
      <c r="C4" s="5" t="s">
        <v>57</v>
      </c>
      <c r="D4" s="5" t="s">
        <v>57</v>
      </c>
      <c r="E4" s="5"/>
      <c r="F4" s="5"/>
      <c r="G4" s="5" t="s">
        <v>57</v>
      </c>
      <c r="H4" s="5"/>
      <c r="I4" s="5"/>
      <c r="J4" s="5"/>
    </row>
    <row r="5" spans="1:10" x14ac:dyDescent="0.2">
      <c r="A5" s="2" t="s">
        <v>10</v>
      </c>
      <c r="B5" s="1" t="s">
        <v>86</v>
      </c>
      <c r="C5" s="1" t="s">
        <v>557</v>
      </c>
      <c r="D5" s="1" t="s">
        <v>558</v>
      </c>
      <c r="E5" s="1" t="s">
        <v>559</v>
      </c>
      <c r="F5" s="1" t="s">
        <v>560</v>
      </c>
      <c r="G5" s="1" t="s">
        <v>561</v>
      </c>
      <c r="H5" s="1" t="s">
        <v>562</v>
      </c>
      <c r="I5" s="1" t="s">
        <v>563</v>
      </c>
      <c r="J5" s="1" t="s">
        <v>564</v>
      </c>
    </row>
    <row r="6" spans="1:10" x14ac:dyDescent="0.2">
      <c r="B6" s="1">
        <v>1000</v>
      </c>
      <c r="C6" s="1" t="s">
        <v>565</v>
      </c>
      <c r="D6" s="1" t="s">
        <v>566</v>
      </c>
      <c r="E6" s="1">
        <v>0</v>
      </c>
      <c r="F6" s="1">
        <v>100</v>
      </c>
      <c r="G6" s="1">
        <v>5</v>
      </c>
      <c r="H6" s="1">
        <v>1</v>
      </c>
      <c r="J6" s="1">
        <v>0</v>
      </c>
    </row>
    <row r="7" spans="1:10" x14ac:dyDescent="0.2">
      <c r="B7" s="1">
        <v>1001</v>
      </c>
      <c r="C7" s="1" t="s">
        <v>567</v>
      </c>
      <c r="D7" s="1" t="s">
        <v>566</v>
      </c>
      <c r="E7" s="1">
        <v>0</v>
      </c>
      <c r="F7" s="1">
        <v>200</v>
      </c>
      <c r="G7" s="1">
        <v>6</v>
      </c>
      <c r="H7" s="1">
        <v>2</v>
      </c>
      <c r="I7" s="1" t="s">
        <v>568</v>
      </c>
      <c r="J7" s="1">
        <v>1</v>
      </c>
    </row>
    <row r="8" spans="1:10" x14ac:dyDescent="0.2">
      <c r="B8" s="1">
        <v>1002</v>
      </c>
      <c r="C8" s="1" t="s">
        <v>569</v>
      </c>
      <c r="D8" s="1" t="s">
        <v>566</v>
      </c>
      <c r="E8" s="1">
        <v>0</v>
      </c>
      <c r="F8" s="1">
        <v>300</v>
      </c>
      <c r="G8" s="1">
        <v>7</v>
      </c>
      <c r="H8" s="1">
        <v>3</v>
      </c>
      <c r="I8" s="1" t="s">
        <v>570</v>
      </c>
      <c r="J8" s="1">
        <v>2</v>
      </c>
    </row>
    <row r="9" spans="1:10" x14ac:dyDescent="0.2">
      <c r="B9" s="1">
        <v>1003</v>
      </c>
      <c r="C9" s="1" t="s">
        <v>571</v>
      </c>
      <c r="D9" s="1" t="s">
        <v>566</v>
      </c>
      <c r="E9" s="1">
        <v>0</v>
      </c>
      <c r="F9" s="1">
        <v>400</v>
      </c>
      <c r="G9" s="1">
        <v>8</v>
      </c>
      <c r="H9" s="1">
        <v>4</v>
      </c>
      <c r="I9" s="1" t="s">
        <v>572</v>
      </c>
      <c r="J9" s="1">
        <v>10</v>
      </c>
    </row>
    <row r="10" spans="1:10" x14ac:dyDescent="0.2">
      <c r="B10" s="1">
        <v>1004</v>
      </c>
      <c r="C10" s="1" t="s">
        <v>573</v>
      </c>
      <c r="D10" s="1" t="s">
        <v>566</v>
      </c>
      <c r="E10" s="1">
        <v>0</v>
      </c>
      <c r="F10" s="1">
        <v>500</v>
      </c>
      <c r="G10" s="1">
        <v>9</v>
      </c>
      <c r="H10" s="1">
        <v>5</v>
      </c>
      <c r="I10" s="1" t="s">
        <v>574</v>
      </c>
      <c r="J10" s="1">
        <v>25</v>
      </c>
    </row>
    <row r="11" spans="1:10" x14ac:dyDescent="0.2">
      <c r="B11" s="1">
        <v>1005</v>
      </c>
      <c r="C11" s="1" t="s">
        <v>575</v>
      </c>
      <c r="D11" s="1" t="s">
        <v>566</v>
      </c>
      <c r="E11" s="1">
        <v>0</v>
      </c>
      <c r="F11" s="1">
        <v>600</v>
      </c>
      <c r="G11" s="1">
        <v>10</v>
      </c>
      <c r="H11" s="1">
        <v>6</v>
      </c>
      <c r="I11" s="1" t="s">
        <v>576</v>
      </c>
      <c r="J11" s="1">
        <v>40</v>
      </c>
    </row>
    <row r="12" spans="1:10" x14ac:dyDescent="0.2">
      <c r="B12" s="1">
        <v>1006</v>
      </c>
      <c r="C12" s="1" t="s">
        <v>577</v>
      </c>
      <c r="D12" s="1" t="s">
        <v>566</v>
      </c>
      <c r="E12" s="1">
        <v>0</v>
      </c>
      <c r="F12" s="1">
        <v>700</v>
      </c>
      <c r="G12" s="1">
        <v>11</v>
      </c>
      <c r="H12" s="1">
        <v>7</v>
      </c>
      <c r="I12" s="1" t="s">
        <v>578</v>
      </c>
      <c r="J12" s="1">
        <v>60</v>
      </c>
    </row>
    <row r="13" spans="1:10" x14ac:dyDescent="0.2">
      <c r="B13" s="1">
        <v>1007</v>
      </c>
      <c r="C13" s="1" t="s">
        <v>579</v>
      </c>
      <c r="D13" s="1" t="s">
        <v>566</v>
      </c>
      <c r="E13" s="1">
        <v>0</v>
      </c>
      <c r="F13" s="1">
        <v>800</v>
      </c>
      <c r="G13" s="1">
        <v>12</v>
      </c>
      <c r="H13" s="1">
        <v>8</v>
      </c>
      <c r="I13" s="1" t="s">
        <v>580</v>
      </c>
      <c r="J13" s="1">
        <v>100</v>
      </c>
    </row>
    <row r="14" spans="1:10" x14ac:dyDescent="0.2">
      <c r="B14" s="1">
        <v>1008</v>
      </c>
      <c r="C14" s="1" t="s">
        <v>581</v>
      </c>
      <c r="D14" s="1" t="s">
        <v>566</v>
      </c>
      <c r="E14" s="1">
        <v>0</v>
      </c>
      <c r="F14" s="1">
        <v>900</v>
      </c>
      <c r="G14" s="1">
        <v>13</v>
      </c>
      <c r="H14" s="1">
        <v>9</v>
      </c>
      <c r="I14" s="1" t="s">
        <v>582</v>
      </c>
      <c r="J14" s="1">
        <v>150</v>
      </c>
    </row>
    <row r="15" spans="1:10" x14ac:dyDescent="0.2">
      <c r="B15" s="1">
        <v>1009</v>
      </c>
      <c r="C15" s="1" t="s">
        <v>583</v>
      </c>
      <c r="D15" s="1" t="s">
        <v>566</v>
      </c>
      <c r="E15" s="1">
        <v>0</v>
      </c>
      <c r="F15" s="1">
        <v>1000</v>
      </c>
      <c r="G15" s="1">
        <v>15</v>
      </c>
      <c r="H15" s="1">
        <v>10</v>
      </c>
      <c r="I15" s="1" t="s">
        <v>584</v>
      </c>
      <c r="J15" s="1">
        <v>250</v>
      </c>
    </row>
    <row r="16" spans="1:10" x14ac:dyDescent="0.2">
      <c r="B16" s="1">
        <v>1010</v>
      </c>
      <c r="C16" s="1" t="s">
        <v>585</v>
      </c>
      <c r="D16" s="1" t="s">
        <v>566</v>
      </c>
      <c r="E16" s="1">
        <v>0</v>
      </c>
      <c r="F16" s="1">
        <v>2000</v>
      </c>
      <c r="G16" s="1">
        <v>20</v>
      </c>
      <c r="H16" s="1">
        <v>11</v>
      </c>
      <c r="I16" s="1" t="s">
        <v>586</v>
      </c>
      <c r="J16" s="1">
        <v>370</v>
      </c>
    </row>
    <row r="17" spans="2:10" x14ac:dyDescent="0.2">
      <c r="B17" s="1">
        <v>1011</v>
      </c>
      <c r="C17" s="1" t="s">
        <v>587</v>
      </c>
      <c r="D17" s="1" t="s">
        <v>566</v>
      </c>
      <c r="E17" s="1">
        <v>0</v>
      </c>
      <c r="F17" s="1">
        <v>3000</v>
      </c>
      <c r="G17" s="1">
        <v>30</v>
      </c>
      <c r="H17" s="1">
        <v>12</v>
      </c>
      <c r="I17" s="1" t="s">
        <v>588</v>
      </c>
      <c r="J17" s="1">
        <v>540</v>
      </c>
    </row>
    <row r="18" spans="2:10" x14ac:dyDescent="0.2">
      <c r="B18" s="1">
        <v>1012</v>
      </c>
      <c r="C18" s="1" t="s">
        <v>589</v>
      </c>
      <c r="D18" s="1" t="s">
        <v>566</v>
      </c>
      <c r="E18" s="1">
        <v>0</v>
      </c>
      <c r="F18" s="1">
        <v>4000</v>
      </c>
      <c r="G18" s="1">
        <v>40</v>
      </c>
      <c r="H18" s="1">
        <v>13</v>
      </c>
      <c r="I18" s="1" t="s">
        <v>590</v>
      </c>
      <c r="J18" s="1">
        <v>830</v>
      </c>
    </row>
    <row r="19" spans="2:10" x14ac:dyDescent="0.2">
      <c r="B19" s="1">
        <v>1013</v>
      </c>
      <c r="C19" s="1" t="s">
        <v>591</v>
      </c>
      <c r="D19" s="1" t="s">
        <v>566</v>
      </c>
      <c r="E19" s="1">
        <v>0</v>
      </c>
      <c r="F19" s="1">
        <v>5000</v>
      </c>
      <c r="G19" s="1">
        <v>50</v>
      </c>
      <c r="H19" s="1">
        <v>14</v>
      </c>
      <c r="I19" s="1" t="s">
        <v>592</v>
      </c>
      <c r="J19" s="1">
        <v>1260</v>
      </c>
    </row>
    <row r="20" spans="2:10" x14ac:dyDescent="0.2">
      <c r="B20" s="1">
        <v>1014</v>
      </c>
      <c r="C20" s="1" t="s">
        <v>593</v>
      </c>
      <c r="D20" s="1" t="s">
        <v>566</v>
      </c>
      <c r="E20" s="1">
        <v>0</v>
      </c>
      <c r="F20" s="1">
        <v>6000</v>
      </c>
      <c r="G20" s="1">
        <v>60</v>
      </c>
      <c r="H20" s="1">
        <v>15</v>
      </c>
      <c r="I20" s="1" t="s">
        <v>594</v>
      </c>
      <c r="J20" s="1">
        <v>1860</v>
      </c>
    </row>
    <row r="21" spans="2:10" x14ac:dyDescent="0.2">
      <c r="B21" s="1">
        <v>1015</v>
      </c>
      <c r="C21" s="1" t="s">
        <v>595</v>
      </c>
      <c r="D21" s="1" t="s">
        <v>566</v>
      </c>
      <c r="E21" s="1">
        <v>0</v>
      </c>
      <c r="F21" s="1">
        <v>7000</v>
      </c>
      <c r="G21" s="1">
        <v>70</v>
      </c>
      <c r="H21" s="1">
        <v>16</v>
      </c>
      <c r="I21" s="1" t="s">
        <v>596</v>
      </c>
      <c r="J21" s="1">
        <v>2650</v>
      </c>
    </row>
    <row r="22" spans="2:10" x14ac:dyDescent="0.2">
      <c r="B22" s="1">
        <v>1016</v>
      </c>
      <c r="C22" s="1" t="s">
        <v>597</v>
      </c>
      <c r="D22" s="1" t="s">
        <v>566</v>
      </c>
      <c r="E22" s="1">
        <v>0</v>
      </c>
      <c r="F22" s="1">
        <v>8000</v>
      </c>
      <c r="G22" s="1">
        <v>80</v>
      </c>
      <c r="H22" s="1">
        <v>17</v>
      </c>
      <c r="I22" s="1" t="s">
        <v>598</v>
      </c>
      <c r="J22" s="1">
        <v>3660</v>
      </c>
    </row>
    <row r="23" spans="2:10" x14ac:dyDescent="0.2">
      <c r="B23" s="1">
        <v>1017</v>
      </c>
      <c r="C23" s="1" t="s">
        <v>599</v>
      </c>
      <c r="D23" s="1" t="s">
        <v>566</v>
      </c>
      <c r="E23" s="1">
        <v>0</v>
      </c>
      <c r="F23" s="1">
        <v>9000</v>
      </c>
      <c r="G23" s="1">
        <v>90</v>
      </c>
      <c r="H23" s="1">
        <v>18</v>
      </c>
      <c r="I23" s="1" t="s">
        <v>600</v>
      </c>
      <c r="J23" s="1">
        <v>4900</v>
      </c>
    </row>
    <row r="24" spans="2:10" x14ac:dyDescent="0.2">
      <c r="B24" s="1">
        <v>1018</v>
      </c>
      <c r="C24" s="1" t="s">
        <v>601</v>
      </c>
      <c r="D24" s="1" t="s">
        <v>566</v>
      </c>
      <c r="E24" s="1">
        <v>10</v>
      </c>
      <c r="F24" s="1">
        <v>10000</v>
      </c>
      <c r="G24" s="1">
        <v>100</v>
      </c>
      <c r="H24" s="1">
        <v>19</v>
      </c>
      <c r="I24" s="1" t="s">
        <v>602</v>
      </c>
      <c r="J24" s="1">
        <v>6500</v>
      </c>
    </row>
    <row r="25" spans="2:10" x14ac:dyDescent="0.2">
      <c r="B25" s="1">
        <v>1019</v>
      </c>
      <c r="C25" s="1" t="s">
        <v>603</v>
      </c>
      <c r="D25" s="1" t="s">
        <v>566</v>
      </c>
      <c r="E25" s="1">
        <v>20</v>
      </c>
      <c r="F25" s="1">
        <v>20000</v>
      </c>
      <c r="G25" s="1">
        <v>200</v>
      </c>
      <c r="H25" s="1">
        <v>20</v>
      </c>
      <c r="I25" s="1" t="s">
        <v>604</v>
      </c>
      <c r="J25" s="1">
        <v>8500</v>
      </c>
    </row>
    <row r="26" spans="2:10" x14ac:dyDescent="0.2">
      <c r="B26" s="1">
        <v>1020</v>
      </c>
      <c r="C26" s="1" t="s">
        <v>605</v>
      </c>
      <c r="D26" s="1" t="s">
        <v>566</v>
      </c>
      <c r="E26" s="1">
        <v>30</v>
      </c>
      <c r="F26" s="1">
        <v>30000</v>
      </c>
      <c r="G26" s="1">
        <v>300</v>
      </c>
      <c r="H26" s="1">
        <v>21</v>
      </c>
      <c r="I26" s="1" t="s">
        <v>606</v>
      </c>
      <c r="J26" s="1">
        <v>11000</v>
      </c>
    </row>
    <row r="27" spans="2:10" x14ac:dyDescent="0.2">
      <c r="B27" s="1">
        <v>1021</v>
      </c>
      <c r="C27" s="1" t="s">
        <v>607</v>
      </c>
      <c r="D27" s="1" t="s">
        <v>566</v>
      </c>
      <c r="E27" s="1">
        <v>40</v>
      </c>
      <c r="F27" s="1">
        <v>40000</v>
      </c>
      <c r="G27" s="1">
        <v>400</v>
      </c>
      <c r="H27" s="1">
        <v>22</v>
      </c>
      <c r="I27" s="1" t="s">
        <v>608</v>
      </c>
      <c r="J27" s="1">
        <v>14000</v>
      </c>
    </row>
    <row r="28" spans="2:10" x14ac:dyDescent="0.2">
      <c r="B28" s="1">
        <v>1022</v>
      </c>
      <c r="C28" s="1" t="s">
        <v>609</v>
      </c>
      <c r="D28" s="1" t="s">
        <v>566</v>
      </c>
      <c r="E28" s="1">
        <v>50</v>
      </c>
      <c r="F28" s="1">
        <v>50000</v>
      </c>
      <c r="G28" s="1">
        <v>500</v>
      </c>
      <c r="H28" s="1">
        <v>23</v>
      </c>
      <c r="I28" s="1" t="s">
        <v>610</v>
      </c>
      <c r="J28" s="1">
        <v>16000</v>
      </c>
    </row>
    <row r="29" spans="2:10" x14ac:dyDescent="0.2">
      <c r="B29" s="1">
        <v>1023</v>
      </c>
      <c r="C29" s="1" t="s">
        <v>611</v>
      </c>
      <c r="D29" s="1" t="s">
        <v>566</v>
      </c>
      <c r="E29" s="1">
        <v>60</v>
      </c>
      <c r="F29" s="1">
        <v>60000</v>
      </c>
      <c r="G29" s="1">
        <v>500</v>
      </c>
      <c r="H29" s="1">
        <v>24</v>
      </c>
      <c r="I29" s="1" t="s">
        <v>612</v>
      </c>
      <c r="J29" s="1">
        <v>18000</v>
      </c>
    </row>
    <row r="30" spans="2:10" x14ac:dyDescent="0.2">
      <c r="B30" s="1">
        <v>1024</v>
      </c>
      <c r="C30" s="1" t="s">
        <v>613</v>
      </c>
      <c r="D30" s="1" t="s">
        <v>566</v>
      </c>
      <c r="E30" s="1">
        <v>70</v>
      </c>
      <c r="F30" s="1">
        <v>70000</v>
      </c>
      <c r="G30" s="1">
        <v>600</v>
      </c>
      <c r="H30" s="1">
        <v>25</v>
      </c>
      <c r="I30" s="1" t="s">
        <v>614</v>
      </c>
      <c r="J30" s="1">
        <v>20000</v>
      </c>
    </row>
    <row r="31" spans="2:10" x14ac:dyDescent="0.2">
      <c r="B31" s="1">
        <v>1025</v>
      </c>
      <c r="C31" s="1" t="s">
        <v>615</v>
      </c>
      <c r="D31" s="1" t="s">
        <v>566</v>
      </c>
      <c r="E31" s="1">
        <v>80</v>
      </c>
      <c r="F31" s="1">
        <v>80000</v>
      </c>
      <c r="G31" s="1">
        <v>800</v>
      </c>
      <c r="H31" s="1">
        <v>26</v>
      </c>
      <c r="I31" s="1" t="s">
        <v>616</v>
      </c>
      <c r="J31" s="1">
        <v>22000</v>
      </c>
    </row>
    <row r="32" spans="2:10" x14ac:dyDescent="0.2">
      <c r="B32" s="1">
        <v>1026</v>
      </c>
      <c r="C32" s="1" t="s">
        <v>617</v>
      </c>
      <c r="D32" s="1" t="s">
        <v>566</v>
      </c>
      <c r="E32" s="1">
        <v>90</v>
      </c>
      <c r="F32" s="1">
        <v>90000</v>
      </c>
      <c r="G32" s="1">
        <v>900</v>
      </c>
      <c r="H32" s="1">
        <v>27</v>
      </c>
      <c r="I32" s="1" t="s">
        <v>618</v>
      </c>
      <c r="J32" s="1">
        <v>24000</v>
      </c>
    </row>
    <row r="33" spans="2:10" x14ac:dyDescent="0.2">
      <c r="B33" s="1">
        <v>1027</v>
      </c>
      <c r="C33" s="1" t="s">
        <v>619</v>
      </c>
      <c r="D33" s="1" t="s">
        <v>566</v>
      </c>
      <c r="E33" s="1">
        <v>100</v>
      </c>
      <c r="F33" s="1">
        <v>100000</v>
      </c>
      <c r="G33" s="1">
        <v>1000</v>
      </c>
      <c r="H33" s="1">
        <v>28</v>
      </c>
      <c r="I33" s="1" t="s">
        <v>620</v>
      </c>
      <c r="J33" s="1">
        <v>26000</v>
      </c>
    </row>
  </sheetData>
  <phoneticPr fontId="12" type="noConversion"/>
  <pageMargins left="0.75" right="0.75" top="1" bottom="1" header="0.5" footer="0.5"/>
  <pageSetup paperSize="9" orientation="portrait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M12"/>
  <sheetViews>
    <sheetView workbookViewId="0">
      <selection activeCell="H17" sqref="H17"/>
    </sheetView>
  </sheetViews>
  <sheetFormatPr defaultColWidth="9" defaultRowHeight="14.25" x14ac:dyDescent="0.2"/>
  <cols>
    <col min="1" max="1" width="9" style="1"/>
    <col min="2" max="2" width="12.625" style="1" customWidth="1"/>
    <col min="3" max="3" width="14.625" style="1" customWidth="1"/>
    <col min="4" max="4" width="27.75" style="1" customWidth="1"/>
    <col min="5" max="12" width="9" style="1"/>
    <col min="13" max="13" width="24.25" style="1" customWidth="1"/>
    <col min="14" max="16384" width="9" style="1"/>
  </cols>
  <sheetData>
    <row r="1" spans="1:13" x14ac:dyDescent="0.2">
      <c r="A1" s="2" t="s">
        <v>0</v>
      </c>
      <c r="B1" s="3" t="s">
        <v>1</v>
      </c>
      <c r="C1" s="3" t="s">
        <v>259</v>
      </c>
      <c r="D1" s="3" t="s">
        <v>3</v>
      </c>
    </row>
    <row r="2" spans="1:13" x14ac:dyDescent="0.2">
      <c r="A2" s="2" t="s">
        <v>0</v>
      </c>
      <c r="B2" s="2"/>
      <c r="C2" s="2"/>
      <c r="D2" s="2"/>
    </row>
    <row r="3" spans="1:13" x14ac:dyDescent="0.2">
      <c r="A3" s="5" t="s">
        <v>6</v>
      </c>
      <c r="B3" s="3" t="s">
        <v>7</v>
      </c>
      <c r="C3" s="3" t="s">
        <v>7</v>
      </c>
      <c r="D3" s="4" t="s">
        <v>225</v>
      </c>
    </row>
    <row r="4" spans="1:13" x14ac:dyDescent="0.2">
      <c r="A4" s="5" t="s">
        <v>9</v>
      </c>
      <c r="B4" s="5"/>
      <c r="C4" s="5"/>
      <c r="D4" s="5"/>
    </row>
    <row r="5" spans="1:13" x14ac:dyDescent="0.2">
      <c r="A5" s="2" t="s">
        <v>10</v>
      </c>
      <c r="B5" s="1" t="s">
        <v>621</v>
      </c>
      <c r="C5" s="1" t="s">
        <v>362</v>
      </c>
      <c r="D5" s="1" t="s">
        <v>622</v>
      </c>
      <c r="E5" s="1" t="s">
        <v>623</v>
      </c>
      <c r="F5" s="1" t="s">
        <v>624</v>
      </c>
      <c r="G5" s="1" t="s">
        <v>625</v>
      </c>
      <c r="H5" s="1" t="s">
        <v>626</v>
      </c>
      <c r="I5" s="1" t="s">
        <v>627</v>
      </c>
      <c r="J5" s="1" t="s">
        <v>628</v>
      </c>
      <c r="K5" s="1" t="s">
        <v>629</v>
      </c>
      <c r="L5" s="1" t="s">
        <v>630</v>
      </c>
      <c r="M5" s="1" t="s">
        <v>631</v>
      </c>
    </row>
    <row r="6" spans="1:13" x14ac:dyDescent="0.2">
      <c r="B6" s="1">
        <v>100</v>
      </c>
      <c r="C6" s="1">
        <v>7</v>
      </c>
      <c r="D6" s="19" t="s">
        <v>632</v>
      </c>
      <c r="E6" s="1">
        <v>1</v>
      </c>
      <c r="F6" s="1">
        <v>1</v>
      </c>
      <c r="G6" s="1">
        <v>2</v>
      </c>
      <c r="H6" s="1">
        <v>2</v>
      </c>
      <c r="I6" s="1">
        <v>3</v>
      </c>
      <c r="J6" s="1">
        <v>3</v>
      </c>
      <c r="K6" s="1">
        <v>4</v>
      </c>
      <c r="L6" s="1">
        <f>SUM(E6:K6)</f>
        <v>16</v>
      </c>
      <c r="M6" s="1">
        <f>L6*5000</f>
        <v>80000</v>
      </c>
    </row>
    <row r="7" spans="1:13" x14ac:dyDescent="0.2">
      <c r="B7" s="1">
        <v>101</v>
      </c>
      <c r="C7" s="1">
        <f t="shared" ref="C7:C12" si="0">C6+7</f>
        <v>14</v>
      </c>
      <c r="D7" s="19" t="s">
        <v>633</v>
      </c>
      <c r="E7" s="1">
        <v>5</v>
      </c>
      <c r="F7" s="1">
        <v>5</v>
      </c>
      <c r="G7" s="1">
        <v>7</v>
      </c>
      <c r="H7" s="1">
        <v>8</v>
      </c>
      <c r="I7" s="1">
        <v>9</v>
      </c>
      <c r="J7" s="1">
        <v>10</v>
      </c>
      <c r="K7" s="1">
        <v>12</v>
      </c>
      <c r="L7" s="1">
        <f t="shared" ref="L7:L12" si="1">SUM(E7:K7)</f>
        <v>56</v>
      </c>
      <c r="M7" s="1">
        <f t="shared" ref="M7:M12" si="2">L7*5000</f>
        <v>280000</v>
      </c>
    </row>
    <row r="8" spans="1:13" x14ac:dyDescent="0.2">
      <c r="B8" s="1">
        <v>102</v>
      </c>
      <c r="C8" s="1">
        <f t="shared" si="0"/>
        <v>21</v>
      </c>
      <c r="D8" s="19" t="s">
        <v>634</v>
      </c>
      <c r="E8" s="1">
        <v>14</v>
      </c>
      <c r="F8" s="1">
        <v>15</v>
      </c>
      <c r="G8" s="1">
        <v>16</v>
      </c>
      <c r="H8" s="1">
        <v>17</v>
      </c>
      <c r="I8" s="1">
        <v>18</v>
      </c>
      <c r="J8" s="1">
        <v>20</v>
      </c>
      <c r="K8" s="1">
        <v>20</v>
      </c>
      <c r="L8" s="1">
        <f t="shared" si="1"/>
        <v>120</v>
      </c>
      <c r="M8" s="1">
        <f t="shared" si="2"/>
        <v>600000</v>
      </c>
    </row>
    <row r="9" spans="1:13" x14ac:dyDescent="0.2">
      <c r="B9" s="1">
        <v>103</v>
      </c>
      <c r="C9" s="1">
        <f t="shared" si="0"/>
        <v>28</v>
      </c>
      <c r="D9" s="19" t="s">
        <v>635</v>
      </c>
      <c r="E9" s="1">
        <v>22</v>
      </c>
      <c r="F9" s="1">
        <f t="shared" ref="F9:K9" si="3">E9+2</f>
        <v>24</v>
      </c>
      <c r="G9" s="1">
        <f t="shared" si="3"/>
        <v>26</v>
      </c>
      <c r="H9" s="1">
        <f t="shared" si="3"/>
        <v>28</v>
      </c>
      <c r="I9" s="1">
        <f t="shared" si="3"/>
        <v>30</v>
      </c>
      <c r="J9" s="1">
        <f t="shared" si="3"/>
        <v>32</v>
      </c>
      <c r="K9" s="1">
        <f t="shared" si="3"/>
        <v>34</v>
      </c>
      <c r="L9" s="1">
        <f t="shared" si="1"/>
        <v>196</v>
      </c>
      <c r="M9" s="1">
        <f t="shared" si="2"/>
        <v>980000</v>
      </c>
    </row>
    <row r="10" spans="1:13" x14ac:dyDescent="0.2">
      <c r="B10" s="1">
        <v>104</v>
      </c>
      <c r="C10" s="1">
        <f t="shared" si="0"/>
        <v>35</v>
      </c>
      <c r="D10" s="19" t="s">
        <v>636</v>
      </c>
      <c r="E10" s="1">
        <v>36</v>
      </c>
      <c r="F10" s="1">
        <f t="shared" ref="F10:K10" si="4">E10+2</f>
        <v>38</v>
      </c>
      <c r="G10" s="1">
        <f t="shared" si="4"/>
        <v>40</v>
      </c>
      <c r="H10" s="1">
        <f t="shared" si="4"/>
        <v>42</v>
      </c>
      <c r="I10" s="1">
        <f t="shared" si="4"/>
        <v>44</v>
      </c>
      <c r="J10" s="1">
        <f t="shared" si="4"/>
        <v>46</v>
      </c>
      <c r="K10" s="1">
        <f t="shared" si="4"/>
        <v>48</v>
      </c>
      <c r="L10" s="1">
        <f t="shared" si="1"/>
        <v>294</v>
      </c>
      <c r="M10" s="1">
        <f t="shared" si="2"/>
        <v>1470000</v>
      </c>
    </row>
    <row r="11" spans="1:13" x14ac:dyDescent="0.2">
      <c r="B11" s="1">
        <v>105</v>
      </c>
      <c r="C11" s="1">
        <f t="shared" si="0"/>
        <v>42</v>
      </c>
      <c r="D11" s="19" t="s">
        <v>637</v>
      </c>
      <c r="E11" s="1">
        <v>50</v>
      </c>
      <c r="F11" s="1">
        <v>50</v>
      </c>
      <c r="G11" s="1">
        <v>52</v>
      </c>
      <c r="H11" s="1">
        <v>53</v>
      </c>
      <c r="I11" s="1">
        <v>54</v>
      </c>
      <c r="J11" s="1">
        <v>55</v>
      </c>
      <c r="K11" s="1">
        <v>56</v>
      </c>
      <c r="L11" s="1">
        <f t="shared" si="1"/>
        <v>370</v>
      </c>
      <c r="M11" s="1">
        <f t="shared" si="2"/>
        <v>1850000</v>
      </c>
    </row>
    <row r="12" spans="1:13" x14ac:dyDescent="0.2">
      <c r="B12" s="1">
        <v>106</v>
      </c>
      <c r="C12" s="1">
        <f t="shared" si="0"/>
        <v>49</v>
      </c>
      <c r="D12" s="19" t="s">
        <v>638</v>
      </c>
      <c r="E12" s="1">
        <v>58</v>
      </c>
      <c r="F12" s="1">
        <v>58</v>
      </c>
      <c r="G12" s="1">
        <v>58</v>
      </c>
      <c r="H12" s="1">
        <v>58</v>
      </c>
      <c r="I12" s="1">
        <v>58</v>
      </c>
      <c r="J12" s="1">
        <v>58</v>
      </c>
      <c r="K12" s="1">
        <v>58</v>
      </c>
      <c r="L12" s="1">
        <f t="shared" si="1"/>
        <v>406</v>
      </c>
      <c r="M12" s="1">
        <f t="shared" si="2"/>
        <v>2030000</v>
      </c>
    </row>
  </sheetData>
  <phoneticPr fontId="12" type="noConversion"/>
  <pageMargins left="0.75" right="0.75" top="1" bottom="1" header="0.5" footer="0.5"/>
  <pageSetup paperSize="9" orientation="portrait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E7"/>
  <sheetViews>
    <sheetView workbookViewId="0">
      <selection activeCell="E15" sqref="E15"/>
    </sheetView>
  </sheetViews>
  <sheetFormatPr defaultColWidth="9" defaultRowHeight="14.25" x14ac:dyDescent="0.2"/>
  <cols>
    <col min="1" max="3" width="9" style="1"/>
    <col min="4" max="4" width="48.875" style="1" customWidth="1"/>
    <col min="5" max="5" width="52" style="1" customWidth="1"/>
    <col min="6" max="16384" width="9" style="1"/>
  </cols>
  <sheetData>
    <row r="1" spans="1:5" x14ac:dyDescent="0.2">
      <c r="A1" s="2" t="s">
        <v>0</v>
      </c>
      <c r="B1" s="3" t="s">
        <v>1</v>
      </c>
      <c r="C1" s="3" t="s">
        <v>66</v>
      </c>
      <c r="D1" s="3" t="s">
        <v>3</v>
      </c>
      <c r="E1" s="3" t="s">
        <v>639</v>
      </c>
    </row>
    <row r="2" spans="1:5" x14ac:dyDescent="0.2">
      <c r="A2" s="2" t="s">
        <v>0</v>
      </c>
      <c r="B2" s="2"/>
      <c r="C2" s="2"/>
      <c r="D2" s="2"/>
      <c r="E2" s="2"/>
    </row>
    <row r="3" spans="1:5" x14ac:dyDescent="0.2">
      <c r="A3" s="5" t="s">
        <v>6</v>
      </c>
      <c r="B3" s="3" t="s">
        <v>7</v>
      </c>
      <c r="C3" s="3" t="s">
        <v>8</v>
      </c>
      <c r="D3" s="4" t="s">
        <v>225</v>
      </c>
      <c r="E3" s="4" t="s">
        <v>225</v>
      </c>
    </row>
    <row r="4" spans="1:5" x14ac:dyDescent="0.2">
      <c r="A4" s="5" t="s">
        <v>9</v>
      </c>
      <c r="B4" s="5"/>
      <c r="C4" s="5"/>
      <c r="D4" s="5"/>
      <c r="E4" s="5"/>
    </row>
    <row r="5" spans="1:5" x14ac:dyDescent="0.2">
      <c r="A5" s="2" t="s">
        <v>10</v>
      </c>
      <c r="B5" s="1" t="s">
        <v>48</v>
      </c>
      <c r="C5" s="1" t="s">
        <v>640</v>
      </c>
      <c r="D5" s="1" t="s">
        <v>268</v>
      </c>
      <c r="E5" s="1" t="s">
        <v>641</v>
      </c>
    </row>
    <row r="6" spans="1:5" x14ac:dyDescent="0.2">
      <c r="B6" s="1">
        <v>999</v>
      </c>
      <c r="C6" s="1" t="s">
        <v>642</v>
      </c>
      <c r="D6" s="19" t="s">
        <v>643</v>
      </c>
    </row>
    <row r="7" spans="1:5" x14ac:dyDescent="0.2">
      <c r="B7" s="1">
        <v>71000</v>
      </c>
      <c r="C7" s="1" t="s">
        <v>644</v>
      </c>
      <c r="D7" s="1" t="s">
        <v>645</v>
      </c>
      <c r="E7" s="1" t="s">
        <v>646</v>
      </c>
    </row>
  </sheetData>
  <phoneticPr fontId="12" type="noConversion"/>
  <pageMargins left="0.75" right="0.75" top="1" bottom="1" header="0.5" footer="0.5"/>
  <pageSetup paperSize="9" orientation="portrait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C9"/>
  <sheetViews>
    <sheetView workbookViewId="0">
      <selection activeCell="C28" sqref="C28"/>
    </sheetView>
  </sheetViews>
  <sheetFormatPr defaultColWidth="9" defaultRowHeight="14.25" x14ac:dyDescent="0.2"/>
  <cols>
    <col min="1" max="1" width="9" style="1"/>
    <col min="2" max="2" width="23.625" style="1" customWidth="1"/>
    <col min="3" max="3" width="31.875" style="1" customWidth="1"/>
    <col min="4" max="16384" width="9" style="1"/>
  </cols>
  <sheetData>
    <row r="1" spans="1:3" x14ac:dyDescent="0.2">
      <c r="A1" s="2" t="s">
        <v>0</v>
      </c>
      <c r="B1" s="3" t="s">
        <v>647</v>
      </c>
      <c r="C1" s="3" t="s">
        <v>648</v>
      </c>
    </row>
    <row r="2" spans="1:3" x14ac:dyDescent="0.2">
      <c r="A2" s="2" t="s">
        <v>0</v>
      </c>
      <c r="B2" s="2"/>
      <c r="C2" s="2"/>
    </row>
    <row r="3" spans="1:3" x14ac:dyDescent="0.2">
      <c r="A3" s="5" t="s">
        <v>6</v>
      </c>
      <c r="B3" s="3" t="s">
        <v>8</v>
      </c>
      <c r="C3" s="3" t="s">
        <v>8</v>
      </c>
    </row>
    <row r="4" spans="1:3" x14ac:dyDescent="0.2">
      <c r="A4" s="5" t="s">
        <v>9</v>
      </c>
      <c r="B4" s="5"/>
      <c r="C4" s="5"/>
    </row>
    <row r="5" spans="1:3" x14ac:dyDescent="0.2">
      <c r="A5" s="2" t="s">
        <v>10</v>
      </c>
      <c r="B5" s="1" t="s">
        <v>649</v>
      </c>
      <c r="C5" s="1" t="s">
        <v>650</v>
      </c>
    </row>
    <row r="6" spans="1:3" x14ac:dyDescent="0.2">
      <c r="B6" s="1" t="s">
        <v>651</v>
      </c>
      <c r="C6" s="1" t="s">
        <v>652</v>
      </c>
    </row>
    <row r="7" spans="1:3" x14ac:dyDescent="0.2">
      <c r="B7" s="1" t="s">
        <v>653</v>
      </c>
      <c r="C7" s="1" t="s">
        <v>654</v>
      </c>
    </row>
    <row r="8" spans="1:3" x14ac:dyDescent="0.2">
      <c r="B8" s="1" t="s">
        <v>655</v>
      </c>
      <c r="C8" s="1" t="s">
        <v>656</v>
      </c>
    </row>
    <row r="9" spans="1:3" x14ac:dyDescent="0.2">
      <c r="B9" s="1" t="s">
        <v>657</v>
      </c>
      <c r="C9" s="1" t="s">
        <v>658</v>
      </c>
    </row>
  </sheetData>
  <phoneticPr fontId="12" type="noConversion"/>
  <pageMargins left="0.75" right="0.75" top="1" bottom="1" header="0.5" footer="0.5"/>
  <pageSetup paperSize="9" orientation="portrait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F53"/>
  <sheetViews>
    <sheetView workbookViewId="0">
      <selection activeCell="I49" sqref="I49"/>
    </sheetView>
  </sheetViews>
  <sheetFormatPr defaultColWidth="9" defaultRowHeight="14.25" x14ac:dyDescent="0.2"/>
  <cols>
    <col min="3" max="3" width="10.875" customWidth="1"/>
    <col min="4" max="4" width="22.5" customWidth="1"/>
    <col min="5" max="5" width="18.375" customWidth="1"/>
    <col min="6" max="6" width="20.25" customWidth="1"/>
  </cols>
  <sheetData>
    <row r="1" spans="1:6" x14ac:dyDescent="0.2">
      <c r="A1" s="2" t="s">
        <v>0</v>
      </c>
      <c r="B1" s="3" t="s">
        <v>1</v>
      </c>
      <c r="C1" s="3" t="s">
        <v>659</v>
      </c>
      <c r="D1" s="3" t="s">
        <v>660</v>
      </c>
      <c r="E1" s="3" t="s">
        <v>661</v>
      </c>
      <c r="F1" s="3" t="s">
        <v>662</v>
      </c>
    </row>
    <row r="2" spans="1:6" x14ac:dyDescent="0.2">
      <c r="A2" s="2" t="s">
        <v>0</v>
      </c>
      <c r="B2" s="2"/>
      <c r="C2" s="2"/>
      <c r="D2" s="2"/>
      <c r="E2" s="2"/>
      <c r="F2" s="2"/>
    </row>
    <row r="3" spans="1:6" x14ac:dyDescent="0.2">
      <c r="A3" s="5" t="s">
        <v>6</v>
      </c>
      <c r="B3" s="3" t="s">
        <v>7</v>
      </c>
      <c r="C3" s="3" t="s">
        <v>7</v>
      </c>
      <c r="D3" s="3" t="s">
        <v>47</v>
      </c>
      <c r="E3" s="3" t="s">
        <v>47</v>
      </c>
      <c r="F3" s="3" t="s">
        <v>7</v>
      </c>
    </row>
    <row r="4" spans="1:6" x14ac:dyDescent="0.2">
      <c r="A4" s="5" t="s">
        <v>9</v>
      </c>
      <c r="B4" s="5"/>
      <c r="C4" s="5"/>
      <c r="D4" s="5"/>
      <c r="E4" s="5"/>
      <c r="F4" s="5"/>
    </row>
    <row r="5" spans="1:6" x14ac:dyDescent="0.2">
      <c r="A5" s="2" t="s">
        <v>10</v>
      </c>
      <c r="B5" s="1" t="s">
        <v>663</v>
      </c>
      <c r="C5" s="1" t="s">
        <v>664</v>
      </c>
      <c r="D5" t="s">
        <v>665</v>
      </c>
      <c r="E5" t="s">
        <v>255</v>
      </c>
      <c r="F5" t="s">
        <v>666</v>
      </c>
    </row>
    <row r="6" spans="1:6" x14ac:dyDescent="0.2">
      <c r="B6" s="35">
        <v>1000</v>
      </c>
      <c r="C6" s="35">
        <v>100</v>
      </c>
      <c r="D6" s="35">
        <v>0</v>
      </c>
      <c r="E6" s="35">
        <f t="shared" ref="E6:E16" si="0">D7-1</f>
        <v>779999</v>
      </c>
      <c r="F6" s="35">
        <v>80</v>
      </c>
    </row>
    <row r="7" spans="1:6" x14ac:dyDescent="0.2">
      <c r="B7" s="35">
        <v>1001</v>
      </c>
      <c r="C7" s="35">
        <v>100</v>
      </c>
      <c r="D7" s="35">
        <v>780000</v>
      </c>
      <c r="E7" s="35">
        <f t="shared" si="0"/>
        <v>819999</v>
      </c>
      <c r="F7" s="35">
        <v>80</v>
      </c>
    </row>
    <row r="8" spans="1:6" x14ac:dyDescent="0.2">
      <c r="B8" s="35">
        <v>1002</v>
      </c>
      <c r="C8" s="35">
        <v>100</v>
      </c>
      <c r="D8" s="35">
        <v>820000</v>
      </c>
      <c r="E8" s="35">
        <f t="shared" si="0"/>
        <v>859999</v>
      </c>
      <c r="F8" s="35">
        <v>85</v>
      </c>
    </row>
    <row r="9" spans="1:6" x14ac:dyDescent="0.2">
      <c r="B9" s="35">
        <v>1003</v>
      </c>
      <c r="C9" s="35">
        <v>100</v>
      </c>
      <c r="D9" s="35">
        <v>860000</v>
      </c>
      <c r="E9" s="35">
        <f t="shared" si="0"/>
        <v>899999</v>
      </c>
      <c r="F9" s="35">
        <v>90</v>
      </c>
    </row>
    <row r="10" spans="1:6" x14ac:dyDescent="0.2">
      <c r="B10" s="35">
        <v>1004</v>
      </c>
      <c r="C10" s="35">
        <v>100</v>
      </c>
      <c r="D10" s="35">
        <v>900000</v>
      </c>
      <c r="E10" s="35">
        <f t="shared" si="0"/>
        <v>999999</v>
      </c>
      <c r="F10" s="35">
        <v>95</v>
      </c>
    </row>
    <row r="11" spans="1:6" x14ac:dyDescent="0.2">
      <c r="B11" s="35">
        <v>1005</v>
      </c>
      <c r="C11" s="35">
        <v>100</v>
      </c>
      <c r="D11" s="35">
        <v>1000000</v>
      </c>
      <c r="E11" s="35">
        <f t="shared" si="0"/>
        <v>1099999</v>
      </c>
      <c r="F11" s="35">
        <v>100</v>
      </c>
    </row>
    <row r="12" spans="1:6" x14ac:dyDescent="0.2">
      <c r="B12" s="35">
        <v>1006</v>
      </c>
      <c r="C12" s="35">
        <v>100</v>
      </c>
      <c r="D12" s="35">
        <v>1100000</v>
      </c>
      <c r="E12" s="35">
        <f t="shared" si="0"/>
        <v>1139999</v>
      </c>
      <c r="F12" s="35">
        <v>105</v>
      </c>
    </row>
    <row r="13" spans="1:6" x14ac:dyDescent="0.2">
      <c r="B13" s="35">
        <v>1007</v>
      </c>
      <c r="C13" s="35">
        <v>100</v>
      </c>
      <c r="D13" s="35">
        <v>1140000</v>
      </c>
      <c r="E13" s="35">
        <f t="shared" si="0"/>
        <v>1179999</v>
      </c>
      <c r="F13" s="35">
        <v>110</v>
      </c>
    </row>
    <row r="14" spans="1:6" x14ac:dyDescent="0.2">
      <c r="B14" s="35">
        <v>1008</v>
      </c>
      <c r="C14" s="35">
        <v>100</v>
      </c>
      <c r="D14" s="35">
        <v>1180000</v>
      </c>
      <c r="E14" s="35">
        <f t="shared" si="0"/>
        <v>1219999</v>
      </c>
      <c r="F14" s="35">
        <v>115</v>
      </c>
    </row>
    <row r="15" spans="1:6" x14ac:dyDescent="0.2">
      <c r="B15" s="35">
        <v>1009</v>
      </c>
      <c r="C15" s="35">
        <v>100</v>
      </c>
      <c r="D15" s="35">
        <v>1220000</v>
      </c>
      <c r="E15" s="35">
        <f t="shared" si="0"/>
        <v>1259999</v>
      </c>
      <c r="F15" s="35">
        <v>120</v>
      </c>
    </row>
    <row r="16" spans="1:6" x14ac:dyDescent="0.2">
      <c r="B16" s="35">
        <v>1010</v>
      </c>
      <c r="C16" s="35">
        <v>100</v>
      </c>
      <c r="D16" s="35">
        <v>1260000</v>
      </c>
      <c r="E16" s="35">
        <f t="shared" si="0"/>
        <v>1299999</v>
      </c>
      <c r="F16" s="35">
        <v>125</v>
      </c>
    </row>
    <row r="17" spans="2:6" x14ac:dyDescent="0.2">
      <c r="B17" s="35">
        <v>1011</v>
      </c>
      <c r="C17" s="35">
        <v>100</v>
      </c>
      <c r="D17" s="35">
        <v>1300000</v>
      </c>
      <c r="E17" s="35">
        <v>999999999</v>
      </c>
      <c r="F17" s="35">
        <v>130</v>
      </c>
    </row>
    <row r="18" spans="2:6" x14ac:dyDescent="0.2">
      <c r="B18" s="35">
        <v>2000</v>
      </c>
      <c r="C18" s="35">
        <v>101</v>
      </c>
      <c r="D18" s="35">
        <v>0</v>
      </c>
      <c r="E18" s="35">
        <f t="shared" ref="E18:E28" si="1">D19-1</f>
        <v>7799999</v>
      </c>
      <c r="F18" s="35">
        <v>80</v>
      </c>
    </row>
    <row r="19" spans="2:6" x14ac:dyDescent="0.2">
      <c r="B19" s="35">
        <v>2001</v>
      </c>
      <c r="C19" s="35">
        <v>101</v>
      </c>
      <c r="D19" s="35">
        <v>7800000</v>
      </c>
      <c r="E19" s="35">
        <f t="shared" si="1"/>
        <v>8199999</v>
      </c>
      <c r="F19" s="35">
        <v>80</v>
      </c>
    </row>
    <row r="20" spans="2:6" x14ac:dyDescent="0.2">
      <c r="B20" s="35">
        <v>2002</v>
      </c>
      <c r="C20" s="35">
        <v>101</v>
      </c>
      <c r="D20" s="35">
        <v>8200000</v>
      </c>
      <c r="E20" s="35">
        <f t="shared" si="1"/>
        <v>8599999</v>
      </c>
      <c r="F20" s="35">
        <v>85</v>
      </c>
    </row>
    <row r="21" spans="2:6" x14ac:dyDescent="0.2">
      <c r="B21" s="35">
        <v>2003</v>
      </c>
      <c r="C21" s="35">
        <v>101</v>
      </c>
      <c r="D21" s="35">
        <v>8600000</v>
      </c>
      <c r="E21" s="35">
        <f t="shared" si="1"/>
        <v>8999999</v>
      </c>
      <c r="F21" s="35">
        <v>90</v>
      </c>
    </row>
    <row r="22" spans="2:6" x14ac:dyDescent="0.2">
      <c r="B22" s="35">
        <v>2004</v>
      </c>
      <c r="C22" s="35">
        <v>101</v>
      </c>
      <c r="D22" s="35">
        <v>9000000</v>
      </c>
      <c r="E22" s="35">
        <f t="shared" si="1"/>
        <v>9999999</v>
      </c>
      <c r="F22" s="35">
        <v>95</v>
      </c>
    </row>
    <row r="23" spans="2:6" x14ac:dyDescent="0.2">
      <c r="B23" s="35">
        <v>2005</v>
      </c>
      <c r="C23" s="35">
        <v>101</v>
      </c>
      <c r="D23" s="35">
        <v>10000000</v>
      </c>
      <c r="E23" s="35">
        <f t="shared" si="1"/>
        <v>10999999</v>
      </c>
      <c r="F23" s="35">
        <v>100</v>
      </c>
    </row>
    <row r="24" spans="2:6" x14ac:dyDescent="0.2">
      <c r="B24" s="35">
        <v>2006</v>
      </c>
      <c r="C24" s="35">
        <v>101</v>
      </c>
      <c r="D24" s="35">
        <v>11000000</v>
      </c>
      <c r="E24" s="35">
        <f t="shared" si="1"/>
        <v>11399999</v>
      </c>
      <c r="F24" s="35">
        <v>105</v>
      </c>
    </row>
    <row r="25" spans="2:6" x14ac:dyDescent="0.2">
      <c r="B25" s="35">
        <v>2007</v>
      </c>
      <c r="C25" s="35">
        <v>101</v>
      </c>
      <c r="D25" s="35">
        <v>11400000</v>
      </c>
      <c r="E25" s="35">
        <f t="shared" si="1"/>
        <v>11799999</v>
      </c>
      <c r="F25" s="35">
        <v>110</v>
      </c>
    </row>
    <row r="26" spans="2:6" x14ac:dyDescent="0.2">
      <c r="B26" s="35">
        <v>2008</v>
      </c>
      <c r="C26" s="35">
        <v>101</v>
      </c>
      <c r="D26" s="35">
        <v>11800000</v>
      </c>
      <c r="E26" s="35">
        <f t="shared" si="1"/>
        <v>12199999</v>
      </c>
      <c r="F26" s="35">
        <v>115</v>
      </c>
    </row>
    <row r="27" spans="2:6" x14ac:dyDescent="0.2">
      <c r="B27" s="35">
        <v>2009</v>
      </c>
      <c r="C27" s="35">
        <v>101</v>
      </c>
      <c r="D27" s="35">
        <v>12200000</v>
      </c>
      <c r="E27" s="35">
        <f t="shared" si="1"/>
        <v>12599999</v>
      </c>
      <c r="F27" s="35">
        <v>120</v>
      </c>
    </row>
    <row r="28" spans="2:6" x14ac:dyDescent="0.2">
      <c r="B28" s="35">
        <v>2010</v>
      </c>
      <c r="C28" s="35">
        <v>101</v>
      </c>
      <c r="D28" s="35">
        <v>12600000</v>
      </c>
      <c r="E28" s="35">
        <f t="shared" si="1"/>
        <v>12999999</v>
      </c>
      <c r="F28" s="35">
        <v>125</v>
      </c>
    </row>
    <row r="29" spans="2:6" x14ac:dyDescent="0.2">
      <c r="B29" s="35">
        <v>2011</v>
      </c>
      <c r="C29" s="35">
        <v>101</v>
      </c>
      <c r="D29" s="35">
        <v>13000000</v>
      </c>
      <c r="E29" s="35">
        <v>999999999</v>
      </c>
      <c r="F29" s="35">
        <v>130</v>
      </c>
    </row>
    <row r="30" spans="2:6" x14ac:dyDescent="0.2">
      <c r="B30" s="35">
        <v>3000</v>
      </c>
      <c r="C30" s="35">
        <v>102</v>
      </c>
      <c r="D30" s="35">
        <v>0</v>
      </c>
      <c r="E30" s="35">
        <f t="shared" ref="E30:E40" si="2">D31-1</f>
        <v>77999999</v>
      </c>
      <c r="F30" s="35">
        <v>80</v>
      </c>
    </row>
    <row r="31" spans="2:6" x14ac:dyDescent="0.2">
      <c r="B31" s="35">
        <v>3001</v>
      </c>
      <c r="C31" s="35">
        <v>102</v>
      </c>
      <c r="D31" s="35">
        <v>78000000</v>
      </c>
      <c r="E31" s="35">
        <f t="shared" si="2"/>
        <v>81999999</v>
      </c>
      <c r="F31" s="35">
        <v>80</v>
      </c>
    </row>
    <row r="32" spans="2:6" x14ac:dyDescent="0.2">
      <c r="B32" s="35">
        <v>3002</v>
      </c>
      <c r="C32" s="35">
        <v>102</v>
      </c>
      <c r="D32" s="35">
        <v>82000000</v>
      </c>
      <c r="E32" s="35">
        <f t="shared" si="2"/>
        <v>85999999</v>
      </c>
      <c r="F32" s="35">
        <v>85</v>
      </c>
    </row>
    <row r="33" spans="2:6" x14ac:dyDescent="0.2">
      <c r="B33" s="35">
        <v>3003</v>
      </c>
      <c r="C33" s="35">
        <v>102</v>
      </c>
      <c r="D33" s="35">
        <v>86000000</v>
      </c>
      <c r="E33" s="35">
        <f t="shared" si="2"/>
        <v>89999999</v>
      </c>
      <c r="F33" s="35">
        <v>90</v>
      </c>
    </row>
    <row r="34" spans="2:6" x14ac:dyDescent="0.2">
      <c r="B34" s="35">
        <v>3004</v>
      </c>
      <c r="C34" s="35">
        <v>102</v>
      </c>
      <c r="D34" s="35">
        <v>90000000</v>
      </c>
      <c r="E34" s="35">
        <f t="shared" si="2"/>
        <v>99999999</v>
      </c>
      <c r="F34" s="35">
        <v>95</v>
      </c>
    </row>
    <row r="35" spans="2:6" x14ac:dyDescent="0.2">
      <c r="B35" s="35">
        <v>3005</v>
      </c>
      <c r="C35" s="35">
        <v>102</v>
      </c>
      <c r="D35" s="35">
        <v>100000000</v>
      </c>
      <c r="E35" s="35">
        <f t="shared" si="2"/>
        <v>109999999</v>
      </c>
      <c r="F35" s="35">
        <v>100</v>
      </c>
    </row>
    <row r="36" spans="2:6" x14ac:dyDescent="0.2">
      <c r="B36" s="35">
        <v>3006</v>
      </c>
      <c r="C36" s="35">
        <v>102</v>
      </c>
      <c r="D36" s="35">
        <v>110000000</v>
      </c>
      <c r="E36" s="35">
        <f t="shared" si="2"/>
        <v>113999999</v>
      </c>
      <c r="F36" s="35">
        <v>105</v>
      </c>
    </row>
    <row r="37" spans="2:6" x14ac:dyDescent="0.2">
      <c r="B37" s="35">
        <v>3007</v>
      </c>
      <c r="C37" s="35">
        <v>102</v>
      </c>
      <c r="D37" s="35">
        <v>114000000</v>
      </c>
      <c r="E37" s="35">
        <f t="shared" si="2"/>
        <v>117999999</v>
      </c>
      <c r="F37" s="35">
        <v>110</v>
      </c>
    </row>
    <row r="38" spans="2:6" x14ac:dyDescent="0.2">
      <c r="B38" s="35">
        <v>3008</v>
      </c>
      <c r="C38" s="35">
        <v>102</v>
      </c>
      <c r="D38" s="35">
        <v>118000000</v>
      </c>
      <c r="E38" s="35">
        <f t="shared" si="2"/>
        <v>121999999</v>
      </c>
      <c r="F38" s="35">
        <v>115</v>
      </c>
    </row>
    <row r="39" spans="2:6" x14ac:dyDescent="0.2">
      <c r="B39" s="35">
        <v>3009</v>
      </c>
      <c r="C39" s="35">
        <v>102</v>
      </c>
      <c r="D39" s="35">
        <v>122000000</v>
      </c>
      <c r="E39" s="35">
        <f t="shared" si="2"/>
        <v>125999999</v>
      </c>
      <c r="F39" s="35">
        <v>120</v>
      </c>
    </row>
    <row r="40" spans="2:6" x14ac:dyDescent="0.2">
      <c r="B40" s="35">
        <v>3010</v>
      </c>
      <c r="C40" s="35">
        <v>102</v>
      </c>
      <c r="D40" s="35">
        <v>126000000</v>
      </c>
      <c r="E40" s="35">
        <f t="shared" si="2"/>
        <v>129999999</v>
      </c>
      <c r="F40" s="35">
        <v>125</v>
      </c>
    </row>
    <row r="41" spans="2:6" x14ac:dyDescent="0.2">
      <c r="B41" s="35">
        <v>3011</v>
      </c>
      <c r="C41" s="35">
        <v>102</v>
      </c>
      <c r="D41" s="35">
        <v>130000000</v>
      </c>
      <c r="E41" s="35">
        <v>999999999</v>
      </c>
      <c r="F41" s="35">
        <v>130</v>
      </c>
    </row>
    <row r="42" spans="2:6" x14ac:dyDescent="0.2">
      <c r="B42" s="35">
        <v>4000</v>
      </c>
      <c r="C42" s="35">
        <v>103</v>
      </c>
      <c r="D42" s="35">
        <v>0</v>
      </c>
      <c r="E42" s="35">
        <f t="shared" ref="E42:E52" si="3">D43-1</f>
        <v>7799999</v>
      </c>
      <c r="F42" s="35">
        <v>80</v>
      </c>
    </row>
    <row r="43" spans="2:6" x14ac:dyDescent="0.2">
      <c r="B43" s="35">
        <v>4001</v>
      </c>
      <c r="C43" s="35">
        <v>103</v>
      </c>
      <c r="D43" s="35">
        <v>7800000</v>
      </c>
      <c r="E43" s="35">
        <f t="shared" si="3"/>
        <v>8199999</v>
      </c>
      <c r="F43" s="35">
        <v>80</v>
      </c>
    </row>
    <row r="44" spans="2:6" x14ac:dyDescent="0.2">
      <c r="B44" s="35">
        <v>4002</v>
      </c>
      <c r="C44" s="35">
        <v>103</v>
      </c>
      <c r="D44" s="35">
        <v>8200000</v>
      </c>
      <c r="E44" s="35">
        <f t="shared" si="3"/>
        <v>8599999</v>
      </c>
      <c r="F44" s="35">
        <v>85</v>
      </c>
    </row>
    <row r="45" spans="2:6" x14ac:dyDescent="0.2">
      <c r="B45" s="35">
        <v>4003</v>
      </c>
      <c r="C45" s="35">
        <v>103</v>
      </c>
      <c r="D45" s="35">
        <v>8600000</v>
      </c>
      <c r="E45" s="35">
        <f t="shared" si="3"/>
        <v>8999999</v>
      </c>
      <c r="F45" s="35">
        <v>90</v>
      </c>
    </row>
    <row r="46" spans="2:6" x14ac:dyDescent="0.2">
      <c r="B46" s="35">
        <v>4004</v>
      </c>
      <c r="C46" s="35">
        <v>103</v>
      </c>
      <c r="D46" s="35">
        <v>9000000</v>
      </c>
      <c r="E46" s="35">
        <f t="shared" si="3"/>
        <v>9999999</v>
      </c>
      <c r="F46" s="35">
        <v>95</v>
      </c>
    </row>
    <row r="47" spans="2:6" x14ac:dyDescent="0.2">
      <c r="B47" s="35">
        <v>4005</v>
      </c>
      <c r="C47" s="35">
        <v>103</v>
      </c>
      <c r="D47" s="35">
        <v>10000000</v>
      </c>
      <c r="E47" s="35">
        <f t="shared" si="3"/>
        <v>10999999</v>
      </c>
      <c r="F47" s="35">
        <v>100</v>
      </c>
    </row>
    <row r="48" spans="2:6" x14ac:dyDescent="0.2">
      <c r="B48" s="35">
        <v>4006</v>
      </c>
      <c r="C48" s="35">
        <v>103</v>
      </c>
      <c r="D48" s="35">
        <v>11000000</v>
      </c>
      <c r="E48" s="35">
        <f t="shared" si="3"/>
        <v>11399999</v>
      </c>
      <c r="F48" s="35">
        <v>105</v>
      </c>
    </row>
    <row r="49" spans="2:6" x14ac:dyDescent="0.2">
      <c r="B49" s="35">
        <v>4007</v>
      </c>
      <c r="C49" s="35">
        <v>103</v>
      </c>
      <c r="D49" s="35">
        <v>11400000</v>
      </c>
      <c r="E49" s="35">
        <f t="shared" si="3"/>
        <v>11799999</v>
      </c>
      <c r="F49" s="35">
        <v>110</v>
      </c>
    </row>
    <row r="50" spans="2:6" x14ac:dyDescent="0.2">
      <c r="B50" s="35">
        <v>4008</v>
      </c>
      <c r="C50" s="35">
        <v>103</v>
      </c>
      <c r="D50" s="35">
        <v>11800000</v>
      </c>
      <c r="E50" s="35">
        <f t="shared" si="3"/>
        <v>12199999</v>
      </c>
      <c r="F50" s="35">
        <v>115</v>
      </c>
    </row>
    <row r="51" spans="2:6" x14ac:dyDescent="0.2">
      <c r="B51" s="35">
        <v>4009</v>
      </c>
      <c r="C51" s="35">
        <v>103</v>
      </c>
      <c r="D51" s="35">
        <v>12200000</v>
      </c>
      <c r="E51" s="35">
        <f t="shared" si="3"/>
        <v>12599999</v>
      </c>
      <c r="F51" s="35">
        <v>120</v>
      </c>
    </row>
    <row r="52" spans="2:6" x14ac:dyDescent="0.2">
      <c r="B52" s="35">
        <v>4010</v>
      </c>
      <c r="C52" s="35">
        <v>103</v>
      </c>
      <c r="D52" s="35">
        <v>12600000</v>
      </c>
      <c r="E52" s="35">
        <f t="shared" si="3"/>
        <v>12999999</v>
      </c>
      <c r="F52" s="35">
        <v>125</v>
      </c>
    </row>
    <row r="53" spans="2:6" x14ac:dyDescent="0.2">
      <c r="B53" s="35">
        <v>4011</v>
      </c>
      <c r="C53" s="35">
        <v>103</v>
      </c>
      <c r="D53" s="35">
        <v>13000000</v>
      </c>
      <c r="E53" s="35">
        <v>999999999</v>
      </c>
      <c r="F53" s="35">
        <v>130</v>
      </c>
    </row>
  </sheetData>
  <phoneticPr fontId="12" type="noConversion"/>
  <pageMargins left="0.75" right="0.75" top="1" bottom="1" header="0.5" footer="0.5"/>
  <pageSetup paperSize="9" orientation="portrait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F64"/>
  <sheetViews>
    <sheetView workbookViewId="0">
      <selection activeCell="E52" sqref="E52"/>
    </sheetView>
  </sheetViews>
  <sheetFormatPr defaultColWidth="9" defaultRowHeight="14.25" x14ac:dyDescent="0.2"/>
  <cols>
    <col min="4" max="4" width="18.5" customWidth="1"/>
    <col min="5" max="5" width="29.75" customWidth="1"/>
    <col min="6" max="6" width="36.5" customWidth="1"/>
  </cols>
  <sheetData>
    <row r="1" spans="1:6" x14ac:dyDescent="0.2">
      <c r="A1" s="2" t="s">
        <v>0</v>
      </c>
      <c r="B1" s="3" t="s">
        <v>1</v>
      </c>
      <c r="C1" s="3" t="s">
        <v>659</v>
      </c>
      <c r="D1" s="3" t="s">
        <v>660</v>
      </c>
      <c r="E1" s="3" t="s">
        <v>661</v>
      </c>
      <c r="F1" s="3" t="s">
        <v>662</v>
      </c>
    </row>
    <row r="2" spans="1:6" x14ac:dyDescent="0.2">
      <c r="A2" s="2" t="s">
        <v>0</v>
      </c>
      <c r="B2" s="2"/>
      <c r="C2" s="2"/>
      <c r="D2" s="2"/>
      <c r="E2" s="2"/>
      <c r="F2" s="2"/>
    </row>
    <row r="3" spans="1:6" x14ac:dyDescent="0.2">
      <c r="A3" s="5" t="s">
        <v>6</v>
      </c>
      <c r="B3" s="3" t="s">
        <v>7</v>
      </c>
      <c r="C3" s="3" t="s">
        <v>7</v>
      </c>
      <c r="D3" s="3" t="s">
        <v>47</v>
      </c>
      <c r="E3" s="3" t="s">
        <v>47</v>
      </c>
      <c r="F3" s="3" t="s">
        <v>7</v>
      </c>
    </row>
    <row r="4" spans="1:6" x14ac:dyDescent="0.2">
      <c r="A4" s="5" t="s">
        <v>9</v>
      </c>
      <c r="B4" s="5"/>
      <c r="C4" s="5"/>
      <c r="D4" s="5"/>
      <c r="E4" s="5"/>
      <c r="F4" s="5"/>
    </row>
    <row r="5" spans="1:6" x14ac:dyDescent="0.2">
      <c r="A5" s="2" t="s">
        <v>10</v>
      </c>
      <c r="B5" s="1" t="s">
        <v>663</v>
      </c>
      <c r="C5" s="1" t="s">
        <v>664</v>
      </c>
      <c r="D5" t="s">
        <v>665</v>
      </c>
      <c r="E5" t="s">
        <v>255</v>
      </c>
      <c r="F5" t="s">
        <v>666</v>
      </c>
    </row>
    <row r="6" spans="1:6" x14ac:dyDescent="0.2">
      <c r="B6" s="35">
        <v>1000</v>
      </c>
      <c r="C6" s="35">
        <v>100</v>
      </c>
      <c r="D6" s="35">
        <v>0</v>
      </c>
      <c r="E6" s="35">
        <f t="shared" ref="E6:E20" si="0">D7-1</f>
        <v>45999999</v>
      </c>
      <c r="F6" s="35">
        <v>50</v>
      </c>
    </row>
    <row r="7" spans="1:6" x14ac:dyDescent="0.2">
      <c r="B7" s="35">
        <v>1001</v>
      </c>
      <c r="C7" s="35">
        <v>100</v>
      </c>
      <c r="D7" s="35">
        <v>46000000</v>
      </c>
      <c r="E7" s="35">
        <f t="shared" si="0"/>
        <v>46999999</v>
      </c>
      <c r="F7" s="35">
        <v>60</v>
      </c>
    </row>
    <row r="8" spans="1:6" x14ac:dyDescent="0.2">
      <c r="B8" s="35">
        <v>1002</v>
      </c>
      <c r="C8" s="35">
        <v>100</v>
      </c>
      <c r="D8" s="35">
        <v>47000000</v>
      </c>
      <c r="E8" s="35">
        <f t="shared" si="0"/>
        <v>47999999</v>
      </c>
      <c r="F8" s="35">
        <v>70</v>
      </c>
    </row>
    <row r="9" spans="1:6" x14ac:dyDescent="0.2">
      <c r="B9" s="35">
        <v>1003</v>
      </c>
      <c r="C9" s="35">
        <v>100</v>
      </c>
      <c r="D9" s="35">
        <v>48000000</v>
      </c>
      <c r="E9" s="35">
        <f t="shared" si="0"/>
        <v>48499999</v>
      </c>
      <c r="F9" s="35">
        <v>80</v>
      </c>
    </row>
    <row r="10" spans="1:6" x14ac:dyDescent="0.2">
      <c r="B10" s="35">
        <v>1004</v>
      </c>
      <c r="C10" s="35">
        <v>100</v>
      </c>
      <c r="D10" s="35">
        <v>48500000</v>
      </c>
      <c r="E10" s="35">
        <f t="shared" si="0"/>
        <v>48999999</v>
      </c>
      <c r="F10" s="35">
        <v>85</v>
      </c>
    </row>
    <row r="11" spans="1:6" x14ac:dyDescent="0.2">
      <c r="B11" s="35">
        <v>1005</v>
      </c>
      <c r="C11" s="35">
        <v>100</v>
      </c>
      <c r="D11" s="35">
        <v>49000000</v>
      </c>
      <c r="E11" s="35">
        <f t="shared" si="0"/>
        <v>49499999</v>
      </c>
      <c r="F11" s="35">
        <v>90</v>
      </c>
    </row>
    <row r="12" spans="1:6" x14ac:dyDescent="0.2">
      <c r="B12" s="35">
        <v>1006</v>
      </c>
      <c r="C12" s="35">
        <v>100</v>
      </c>
      <c r="D12" s="35">
        <v>49500000</v>
      </c>
      <c r="E12" s="35">
        <f t="shared" si="0"/>
        <v>49999999</v>
      </c>
      <c r="F12" s="35">
        <v>95</v>
      </c>
    </row>
    <row r="13" spans="1:6" x14ac:dyDescent="0.2">
      <c r="B13" s="35">
        <v>1007</v>
      </c>
      <c r="C13" s="35">
        <v>100</v>
      </c>
      <c r="D13" s="35">
        <v>50000000</v>
      </c>
      <c r="E13" s="35">
        <f t="shared" si="0"/>
        <v>50499999</v>
      </c>
      <c r="F13" s="35">
        <v>100</v>
      </c>
    </row>
    <row r="14" spans="1:6" x14ac:dyDescent="0.2">
      <c r="B14" s="35">
        <v>1008</v>
      </c>
      <c r="C14" s="35">
        <v>100</v>
      </c>
      <c r="D14" s="35">
        <v>50500000</v>
      </c>
      <c r="E14" s="35">
        <f t="shared" si="0"/>
        <v>50999999</v>
      </c>
      <c r="F14" s="35">
        <v>105</v>
      </c>
    </row>
    <row r="15" spans="1:6" x14ac:dyDescent="0.2">
      <c r="B15" s="35">
        <v>1009</v>
      </c>
      <c r="C15" s="35">
        <v>100</v>
      </c>
      <c r="D15" s="35">
        <v>51000000</v>
      </c>
      <c r="E15" s="35">
        <f t="shared" si="0"/>
        <v>51499999</v>
      </c>
      <c r="F15" s="35">
        <v>110</v>
      </c>
    </row>
    <row r="16" spans="1:6" x14ac:dyDescent="0.2">
      <c r="B16" s="35">
        <v>1010</v>
      </c>
      <c r="C16" s="35">
        <v>100</v>
      </c>
      <c r="D16" s="35">
        <v>51500000</v>
      </c>
      <c r="E16" s="35">
        <f t="shared" si="0"/>
        <v>51999999</v>
      </c>
      <c r="F16" s="35">
        <v>115</v>
      </c>
    </row>
    <row r="17" spans="2:6" x14ac:dyDescent="0.2">
      <c r="B17" s="35">
        <v>1011</v>
      </c>
      <c r="C17" s="35">
        <v>100</v>
      </c>
      <c r="D17" s="35">
        <v>52000000</v>
      </c>
      <c r="E17" s="35">
        <f t="shared" si="0"/>
        <v>52999999</v>
      </c>
      <c r="F17" s="35">
        <v>120</v>
      </c>
    </row>
    <row r="18" spans="2:6" x14ac:dyDescent="0.2">
      <c r="B18" s="35">
        <v>1012</v>
      </c>
      <c r="C18" s="35">
        <v>100</v>
      </c>
      <c r="D18" s="35">
        <v>53000000</v>
      </c>
      <c r="E18" s="35">
        <f t="shared" si="0"/>
        <v>53999999</v>
      </c>
      <c r="F18" s="35">
        <v>130</v>
      </c>
    </row>
    <row r="19" spans="2:6" x14ac:dyDescent="0.2">
      <c r="B19" s="35">
        <v>1013</v>
      </c>
      <c r="C19" s="35">
        <v>100</v>
      </c>
      <c r="D19" s="35">
        <v>54000000</v>
      </c>
      <c r="E19" s="35">
        <f t="shared" ref="E19" si="1">D20-1</f>
        <v>54999999</v>
      </c>
      <c r="F19" s="35">
        <v>140</v>
      </c>
    </row>
    <row r="20" spans="2:6" x14ac:dyDescent="0.2">
      <c r="B20" s="35">
        <v>1014</v>
      </c>
      <c r="C20" s="35">
        <v>100</v>
      </c>
      <c r="D20" s="35">
        <v>55000000</v>
      </c>
      <c r="E20" s="35">
        <f t="shared" si="0"/>
        <v>55999999</v>
      </c>
      <c r="F20" s="35">
        <v>150</v>
      </c>
    </row>
    <row r="21" spans="2:6" x14ac:dyDescent="0.2">
      <c r="B21" s="35">
        <v>1015</v>
      </c>
      <c r="C21" s="35">
        <v>100</v>
      </c>
      <c r="D21" s="35">
        <v>56000000</v>
      </c>
      <c r="E21" s="35">
        <v>999999999</v>
      </c>
      <c r="F21" s="35">
        <v>160</v>
      </c>
    </row>
    <row r="22" spans="2:6" x14ac:dyDescent="0.2">
      <c r="B22" s="35">
        <v>2000</v>
      </c>
      <c r="C22" s="35">
        <v>101</v>
      </c>
      <c r="D22" s="35">
        <v>0</v>
      </c>
      <c r="E22" s="35">
        <f t="shared" ref="E22:E34" si="2">D23-1</f>
        <v>53999999</v>
      </c>
      <c r="F22" s="35">
        <v>50</v>
      </c>
    </row>
    <row r="23" spans="2:6" x14ac:dyDescent="0.2">
      <c r="B23" s="35">
        <v>2001</v>
      </c>
      <c r="C23" s="35">
        <v>101</v>
      </c>
      <c r="D23" s="35">
        <v>54000000</v>
      </c>
      <c r="E23" s="35">
        <f t="shared" si="2"/>
        <v>55999999</v>
      </c>
      <c r="F23" s="35">
        <v>70</v>
      </c>
    </row>
    <row r="24" spans="2:6" x14ac:dyDescent="0.2">
      <c r="B24" s="35">
        <v>2002</v>
      </c>
      <c r="C24" s="35">
        <v>101</v>
      </c>
      <c r="D24" s="35">
        <v>56000000</v>
      </c>
      <c r="E24" s="35">
        <f t="shared" si="2"/>
        <v>56999999</v>
      </c>
      <c r="F24" s="35">
        <v>80</v>
      </c>
    </row>
    <row r="25" spans="2:6" x14ac:dyDescent="0.2">
      <c r="B25" s="35">
        <v>2003</v>
      </c>
      <c r="C25" s="35">
        <v>101</v>
      </c>
      <c r="D25" s="35">
        <v>57000000</v>
      </c>
      <c r="E25" s="35">
        <f t="shared" si="2"/>
        <v>57999999</v>
      </c>
      <c r="F25" s="35">
        <v>85</v>
      </c>
    </row>
    <row r="26" spans="2:6" x14ac:dyDescent="0.2">
      <c r="B26" s="35">
        <v>2004</v>
      </c>
      <c r="C26" s="35">
        <v>101</v>
      </c>
      <c r="D26" s="35">
        <v>58000000</v>
      </c>
      <c r="E26" s="35">
        <f t="shared" si="2"/>
        <v>58999999</v>
      </c>
      <c r="F26" s="35">
        <v>90</v>
      </c>
    </row>
    <row r="27" spans="2:6" x14ac:dyDescent="0.2">
      <c r="B27" s="35">
        <v>2005</v>
      </c>
      <c r="C27" s="35">
        <v>101</v>
      </c>
      <c r="D27" s="35">
        <v>59000000</v>
      </c>
      <c r="E27" s="35">
        <f t="shared" si="2"/>
        <v>59999999</v>
      </c>
      <c r="F27" s="35">
        <v>95</v>
      </c>
    </row>
    <row r="28" spans="2:6" x14ac:dyDescent="0.2">
      <c r="B28" s="35">
        <v>2006</v>
      </c>
      <c r="C28" s="35">
        <v>101</v>
      </c>
      <c r="D28" s="35">
        <v>60000000</v>
      </c>
      <c r="E28" s="35">
        <f t="shared" si="2"/>
        <v>60999999</v>
      </c>
      <c r="F28" s="35">
        <v>100</v>
      </c>
    </row>
    <row r="29" spans="2:6" x14ac:dyDescent="0.2">
      <c r="B29" s="35">
        <v>2007</v>
      </c>
      <c r="C29" s="35">
        <v>101</v>
      </c>
      <c r="D29" s="35">
        <v>61000000</v>
      </c>
      <c r="E29" s="35">
        <f t="shared" si="2"/>
        <v>61999999</v>
      </c>
      <c r="F29" s="35">
        <v>105</v>
      </c>
    </row>
    <row r="30" spans="2:6" x14ac:dyDescent="0.2">
      <c r="B30" s="35">
        <v>2008</v>
      </c>
      <c r="C30" s="35">
        <v>101</v>
      </c>
      <c r="D30" s="35">
        <v>62000000</v>
      </c>
      <c r="E30" s="35">
        <f t="shared" si="2"/>
        <v>62999999</v>
      </c>
      <c r="F30" s="35">
        <v>110</v>
      </c>
    </row>
    <row r="31" spans="2:6" x14ac:dyDescent="0.2">
      <c r="B31" s="35">
        <v>2009</v>
      </c>
      <c r="C31" s="35">
        <v>101</v>
      </c>
      <c r="D31" s="35">
        <v>63000000</v>
      </c>
      <c r="E31" s="35">
        <f t="shared" si="2"/>
        <v>63999999</v>
      </c>
      <c r="F31" s="35">
        <v>115</v>
      </c>
    </row>
    <row r="32" spans="2:6" x14ac:dyDescent="0.2">
      <c r="B32" s="35">
        <v>2010</v>
      </c>
      <c r="C32" s="35">
        <v>101</v>
      </c>
      <c r="D32" s="35">
        <v>64000000</v>
      </c>
      <c r="E32" s="35">
        <f t="shared" si="2"/>
        <v>65999999</v>
      </c>
      <c r="F32" s="35">
        <v>120</v>
      </c>
    </row>
    <row r="33" spans="2:6" x14ac:dyDescent="0.2">
      <c r="B33" s="35">
        <v>2011</v>
      </c>
      <c r="C33" s="35">
        <v>101</v>
      </c>
      <c r="D33" s="35">
        <v>66000000</v>
      </c>
      <c r="E33" s="35">
        <f t="shared" si="2"/>
        <v>67999999</v>
      </c>
      <c r="F33" s="35">
        <v>130</v>
      </c>
    </row>
    <row r="34" spans="2:6" x14ac:dyDescent="0.2">
      <c r="B34" s="35">
        <v>2012</v>
      </c>
      <c r="C34" s="35">
        <v>101</v>
      </c>
      <c r="D34" s="35">
        <v>68000000</v>
      </c>
      <c r="E34" s="35">
        <f t="shared" si="2"/>
        <v>69999999</v>
      </c>
      <c r="F34" s="35">
        <v>140</v>
      </c>
    </row>
    <row r="35" spans="2:6" x14ac:dyDescent="0.2">
      <c r="B35" s="35">
        <v>2013</v>
      </c>
      <c r="C35" s="35">
        <v>101</v>
      </c>
      <c r="D35" s="35">
        <v>70000000</v>
      </c>
      <c r="E35" s="35">
        <v>999999999</v>
      </c>
      <c r="F35" s="35">
        <v>150</v>
      </c>
    </row>
    <row r="36" spans="2:6" x14ac:dyDescent="0.2">
      <c r="B36" s="35">
        <v>3000</v>
      </c>
      <c r="C36" s="35">
        <v>102</v>
      </c>
      <c r="D36" s="35">
        <v>0</v>
      </c>
      <c r="E36" s="35">
        <f t="shared" ref="E36:E49" si="3">D37-1</f>
        <v>59999999</v>
      </c>
      <c r="F36" s="35">
        <v>20</v>
      </c>
    </row>
    <row r="37" spans="2:6" x14ac:dyDescent="0.2">
      <c r="B37" s="35">
        <v>3001</v>
      </c>
      <c r="C37" s="35">
        <v>102</v>
      </c>
      <c r="D37" s="35">
        <v>60000000</v>
      </c>
      <c r="E37" s="35">
        <f t="shared" si="3"/>
        <v>99999999</v>
      </c>
      <c r="F37" s="35">
        <v>30</v>
      </c>
    </row>
    <row r="38" spans="2:6" x14ac:dyDescent="0.2">
      <c r="B38" s="35">
        <v>3002</v>
      </c>
      <c r="C38" s="35">
        <v>102</v>
      </c>
      <c r="D38" s="35">
        <v>100000000</v>
      </c>
      <c r="E38" s="35">
        <f t="shared" si="3"/>
        <v>139999999</v>
      </c>
      <c r="F38" s="35">
        <v>50</v>
      </c>
    </row>
    <row r="39" spans="2:6" x14ac:dyDescent="0.2">
      <c r="B39" s="35">
        <v>3003</v>
      </c>
      <c r="C39" s="35">
        <v>102</v>
      </c>
      <c r="D39" s="35">
        <v>140000000</v>
      </c>
      <c r="E39" s="35">
        <f t="shared" si="3"/>
        <v>159999999</v>
      </c>
      <c r="F39" s="35">
        <v>70</v>
      </c>
    </row>
    <row r="40" spans="2:6" x14ac:dyDescent="0.2">
      <c r="B40" s="35">
        <v>3004</v>
      </c>
      <c r="C40" s="35">
        <v>102</v>
      </c>
      <c r="D40" s="35">
        <v>160000000</v>
      </c>
      <c r="E40" s="35">
        <f t="shared" si="3"/>
        <v>179999999</v>
      </c>
      <c r="F40" s="35">
        <v>80</v>
      </c>
    </row>
    <row r="41" spans="2:6" x14ac:dyDescent="0.2">
      <c r="B41" s="35">
        <v>3005</v>
      </c>
      <c r="C41" s="35">
        <v>102</v>
      </c>
      <c r="D41" s="35">
        <v>180000000</v>
      </c>
      <c r="E41" s="35">
        <f t="shared" si="3"/>
        <v>189999999</v>
      </c>
      <c r="F41" s="35">
        <v>90</v>
      </c>
    </row>
    <row r="42" spans="2:6" x14ac:dyDescent="0.2">
      <c r="B42" s="35">
        <v>3006</v>
      </c>
      <c r="C42" s="35">
        <v>102</v>
      </c>
      <c r="D42" s="35">
        <v>190000000</v>
      </c>
      <c r="E42" s="35">
        <f t="shared" si="3"/>
        <v>199999999</v>
      </c>
      <c r="F42" s="35">
        <v>95</v>
      </c>
    </row>
    <row r="43" spans="2:6" x14ac:dyDescent="0.2">
      <c r="B43" s="35">
        <v>3007</v>
      </c>
      <c r="C43" s="35">
        <v>102</v>
      </c>
      <c r="D43" s="35">
        <v>200000000</v>
      </c>
      <c r="E43" s="35">
        <f t="shared" si="3"/>
        <v>209999999</v>
      </c>
      <c r="F43" s="35">
        <v>100</v>
      </c>
    </row>
    <row r="44" spans="2:6" x14ac:dyDescent="0.2">
      <c r="B44" s="35">
        <v>3008</v>
      </c>
      <c r="C44" s="35">
        <v>102</v>
      </c>
      <c r="D44" s="35">
        <v>210000000</v>
      </c>
      <c r="E44" s="35">
        <f t="shared" si="3"/>
        <v>219999999</v>
      </c>
      <c r="F44" s="35">
        <v>105</v>
      </c>
    </row>
    <row r="45" spans="2:6" x14ac:dyDescent="0.2">
      <c r="B45" s="35">
        <v>3009</v>
      </c>
      <c r="C45" s="35">
        <v>102</v>
      </c>
      <c r="D45" s="35">
        <v>220000000</v>
      </c>
      <c r="E45" s="35">
        <f t="shared" si="3"/>
        <v>239999999</v>
      </c>
      <c r="F45" s="35">
        <v>110</v>
      </c>
    </row>
    <row r="46" spans="2:6" x14ac:dyDescent="0.2">
      <c r="B46" s="35">
        <v>3010</v>
      </c>
      <c r="C46" s="35">
        <v>102</v>
      </c>
      <c r="D46" s="35">
        <v>240000000</v>
      </c>
      <c r="E46" s="35">
        <f t="shared" si="3"/>
        <v>259999999</v>
      </c>
      <c r="F46" s="35">
        <v>120</v>
      </c>
    </row>
    <row r="47" spans="2:6" x14ac:dyDescent="0.2">
      <c r="B47" s="35">
        <v>3011</v>
      </c>
      <c r="C47" s="35">
        <v>102</v>
      </c>
      <c r="D47" s="35">
        <v>260000000</v>
      </c>
      <c r="E47" s="35">
        <f t="shared" si="3"/>
        <v>299999999</v>
      </c>
      <c r="F47" s="35">
        <v>130</v>
      </c>
    </row>
    <row r="48" spans="2:6" x14ac:dyDescent="0.2">
      <c r="B48" s="35">
        <v>3012</v>
      </c>
      <c r="C48" s="35">
        <v>102</v>
      </c>
      <c r="D48" s="35">
        <v>300000000</v>
      </c>
      <c r="E48" s="35">
        <f t="shared" si="3"/>
        <v>359999999</v>
      </c>
      <c r="F48" s="35">
        <v>150</v>
      </c>
    </row>
    <row r="49" spans="2:6" x14ac:dyDescent="0.2">
      <c r="B49" s="35">
        <v>3013</v>
      </c>
      <c r="C49" s="35">
        <v>102</v>
      </c>
      <c r="D49" s="35">
        <v>360000000</v>
      </c>
      <c r="E49" s="35">
        <f t="shared" si="3"/>
        <v>399999999</v>
      </c>
      <c r="F49" s="35">
        <v>180</v>
      </c>
    </row>
    <row r="50" spans="2:6" x14ac:dyDescent="0.2">
      <c r="B50" s="35">
        <v>3014</v>
      </c>
      <c r="C50" s="35">
        <v>102</v>
      </c>
      <c r="D50" s="35">
        <v>400000000</v>
      </c>
      <c r="E50" s="35">
        <v>999999999</v>
      </c>
      <c r="F50" s="35">
        <v>200</v>
      </c>
    </row>
    <row r="51" spans="2:6" x14ac:dyDescent="0.2">
      <c r="B51" s="35">
        <v>4000</v>
      </c>
      <c r="C51" s="35">
        <v>103</v>
      </c>
      <c r="D51" s="35">
        <v>0</v>
      </c>
      <c r="E51" s="35">
        <f t="shared" ref="E51:E63" si="4">D52-1</f>
        <v>53999999</v>
      </c>
      <c r="F51" s="35">
        <v>50</v>
      </c>
    </row>
    <row r="52" spans="2:6" x14ac:dyDescent="0.2">
      <c r="B52" s="35">
        <v>4001</v>
      </c>
      <c r="C52" s="35">
        <v>103</v>
      </c>
      <c r="D52" s="35">
        <v>54000000</v>
      </c>
      <c r="E52" s="35">
        <f t="shared" si="4"/>
        <v>55999999</v>
      </c>
      <c r="F52" s="35">
        <v>70</v>
      </c>
    </row>
    <row r="53" spans="2:6" x14ac:dyDescent="0.2">
      <c r="B53" s="35">
        <v>4002</v>
      </c>
      <c r="C53" s="35">
        <v>103</v>
      </c>
      <c r="D53" s="35">
        <v>56000000</v>
      </c>
      <c r="E53" s="35">
        <f t="shared" si="4"/>
        <v>56999999</v>
      </c>
      <c r="F53" s="35">
        <v>80</v>
      </c>
    </row>
    <row r="54" spans="2:6" x14ac:dyDescent="0.2">
      <c r="B54" s="35">
        <v>4003</v>
      </c>
      <c r="C54" s="35">
        <v>103</v>
      </c>
      <c r="D54" s="35">
        <v>57000000</v>
      </c>
      <c r="E54" s="35">
        <f t="shared" si="4"/>
        <v>57999999</v>
      </c>
      <c r="F54" s="35">
        <v>85</v>
      </c>
    </row>
    <row r="55" spans="2:6" x14ac:dyDescent="0.2">
      <c r="B55" s="35">
        <v>4004</v>
      </c>
      <c r="C55" s="35">
        <v>103</v>
      </c>
      <c r="D55" s="35">
        <v>58000000</v>
      </c>
      <c r="E55" s="35">
        <f t="shared" si="4"/>
        <v>58999999</v>
      </c>
      <c r="F55" s="35">
        <v>90</v>
      </c>
    </row>
    <row r="56" spans="2:6" x14ac:dyDescent="0.2">
      <c r="B56" s="35">
        <v>4005</v>
      </c>
      <c r="C56" s="35">
        <v>103</v>
      </c>
      <c r="D56" s="35">
        <v>59000000</v>
      </c>
      <c r="E56" s="35">
        <f t="shared" si="4"/>
        <v>59999999</v>
      </c>
      <c r="F56" s="35">
        <v>95</v>
      </c>
    </row>
    <row r="57" spans="2:6" x14ac:dyDescent="0.2">
      <c r="B57" s="35">
        <v>4006</v>
      </c>
      <c r="C57" s="35">
        <v>103</v>
      </c>
      <c r="D57" s="35">
        <v>60000000</v>
      </c>
      <c r="E57" s="35">
        <f t="shared" si="4"/>
        <v>60999999</v>
      </c>
      <c r="F57" s="35">
        <v>100</v>
      </c>
    </row>
    <row r="58" spans="2:6" x14ac:dyDescent="0.2">
      <c r="B58" s="35">
        <v>4007</v>
      </c>
      <c r="C58" s="35">
        <v>103</v>
      </c>
      <c r="D58" s="35">
        <v>61000000</v>
      </c>
      <c r="E58" s="35">
        <f t="shared" si="4"/>
        <v>61999999</v>
      </c>
      <c r="F58" s="35">
        <v>105</v>
      </c>
    </row>
    <row r="59" spans="2:6" x14ac:dyDescent="0.2">
      <c r="B59" s="35">
        <v>4008</v>
      </c>
      <c r="C59" s="35">
        <v>103</v>
      </c>
      <c r="D59" s="35">
        <v>62000000</v>
      </c>
      <c r="E59" s="35">
        <f t="shared" si="4"/>
        <v>62999999</v>
      </c>
      <c r="F59" s="35">
        <v>110</v>
      </c>
    </row>
    <row r="60" spans="2:6" x14ac:dyDescent="0.2">
      <c r="B60" s="35">
        <v>4009</v>
      </c>
      <c r="C60" s="35">
        <v>103</v>
      </c>
      <c r="D60" s="35">
        <v>63000000</v>
      </c>
      <c r="E60" s="35">
        <f t="shared" si="4"/>
        <v>63999999</v>
      </c>
      <c r="F60" s="35">
        <v>115</v>
      </c>
    </row>
    <row r="61" spans="2:6" x14ac:dyDescent="0.2">
      <c r="B61" s="35">
        <v>4010</v>
      </c>
      <c r="C61" s="35">
        <v>103</v>
      </c>
      <c r="D61" s="35">
        <v>64000000</v>
      </c>
      <c r="E61" s="35">
        <f t="shared" si="4"/>
        <v>65999999</v>
      </c>
      <c r="F61" s="35">
        <v>120</v>
      </c>
    </row>
    <row r="62" spans="2:6" x14ac:dyDescent="0.2">
      <c r="B62" s="35">
        <v>4011</v>
      </c>
      <c r="C62" s="35">
        <v>103</v>
      </c>
      <c r="D62" s="35">
        <v>66000000</v>
      </c>
      <c r="E62" s="35">
        <f t="shared" si="4"/>
        <v>67999999</v>
      </c>
      <c r="F62" s="35">
        <v>130</v>
      </c>
    </row>
    <row r="63" spans="2:6" x14ac:dyDescent="0.2">
      <c r="B63" s="35">
        <v>4012</v>
      </c>
      <c r="C63" s="35">
        <v>103</v>
      </c>
      <c r="D63" s="35">
        <v>68000000</v>
      </c>
      <c r="E63" s="35">
        <f t="shared" si="4"/>
        <v>69999999</v>
      </c>
      <c r="F63" s="35">
        <v>140</v>
      </c>
    </row>
    <row r="64" spans="2:6" x14ac:dyDescent="0.2">
      <c r="B64" s="35">
        <v>4013</v>
      </c>
      <c r="C64" s="35">
        <v>103</v>
      </c>
      <c r="D64" s="35">
        <v>70000000</v>
      </c>
      <c r="E64" s="35">
        <v>999999999</v>
      </c>
      <c r="F64" s="35">
        <v>150</v>
      </c>
    </row>
  </sheetData>
  <phoneticPr fontId="12" type="noConversion"/>
  <pageMargins left="0.7" right="0.7" top="0.75" bottom="0.75" header="0.3" footer="0.3"/>
  <pageSetup paperSize="9" orientation="portrait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G77"/>
  <sheetViews>
    <sheetView topLeftCell="A16" workbookViewId="0">
      <selection activeCell="L45" sqref="L45"/>
    </sheetView>
  </sheetViews>
  <sheetFormatPr defaultColWidth="9" defaultRowHeight="14.25" x14ac:dyDescent="0.2"/>
  <cols>
    <col min="1" max="1" width="9" style="1"/>
    <col min="2" max="2" width="14.625" style="1" customWidth="1"/>
    <col min="3" max="3" width="22.5" style="1" customWidth="1"/>
    <col min="4" max="4" width="17.25" style="1" customWidth="1"/>
    <col min="5" max="5" width="16.125" style="1" customWidth="1"/>
    <col min="6" max="6" width="11.625" style="1" customWidth="1"/>
    <col min="7" max="16384" width="9" style="1"/>
  </cols>
  <sheetData>
    <row r="1" spans="1:6" x14ac:dyDescent="0.2">
      <c r="A1" s="2" t="s">
        <v>0</v>
      </c>
      <c r="B1" s="3" t="s">
        <v>1</v>
      </c>
      <c r="C1" s="3" t="s">
        <v>127</v>
      </c>
      <c r="D1" s="3" t="s">
        <v>667</v>
      </c>
      <c r="E1" s="3" t="s">
        <v>668</v>
      </c>
      <c r="F1" s="3" t="s">
        <v>669</v>
      </c>
    </row>
    <row r="2" spans="1:6" x14ac:dyDescent="0.2">
      <c r="A2" s="2" t="s">
        <v>0</v>
      </c>
      <c r="B2" s="2"/>
      <c r="C2" s="2"/>
      <c r="D2" s="2"/>
      <c r="E2" s="2"/>
      <c r="F2" s="2"/>
    </row>
    <row r="3" spans="1:6" x14ac:dyDescent="0.2">
      <c r="A3" s="5" t="s">
        <v>6</v>
      </c>
      <c r="B3" s="3" t="s">
        <v>7</v>
      </c>
      <c r="C3" s="3" t="s">
        <v>7</v>
      </c>
      <c r="D3" s="3" t="s">
        <v>8</v>
      </c>
      <c r="E3" s="3" t="s">
        <v>7</v>
      </c>
      <c r="F3" s="3" t="s">
        <v>7</v>
      </c>
    </row>
    <row r="4" spans="1:6" x14ac:dyDescent="0.2">
      <c r="A4" s="5" t="s">
        <v>9</v>
      </c>
      <c r="B4" s="5"/>
      <c r="C4" s="5"/>
      <c r="D4" s="5"/>
      <c r="E4" s="5"/>
      <c r="F4" s="5"/>
    </row>
    <row r="5" spans="1:6" x14ac:dyDescent="0.2">
      <c r="A5" s="2" t="s">
        <v>10</v>
      </c>
      <c r="B5" s="1" t="s">
        <v>670</v>
      </c>
      <c r="C5" s="1" t="s">
        <v>671</v>
      </c>
      <c r="D5" s="1" t="s">
        <v>672</v>
      </c>
      <c r="E5" s="1" t="s">
        <v>59</v>
      </c>
      <c r="F5" s="1" t="s">
        <v>673</v>
      </c>
    </row>
    <row r="6" spans="1:6" x14ac:dyDescent="0.2">
      <c r="B6" s="1">
        <v>9000</v>
      </c>
      <c r="C6" s="11">
        <v>6</v>
      </c>
      <c r="D6" s="1" t="s">
        <v>674</v>
      </c>
      <c r="E6" s="1">
        <v>0</v>
      </c>
      <c r="F6" s="1">
        <v>0</v>
      </c>
    </row>
    <row r="7" spans="1:6" x14ac:dyDescent="0.2">
      <c r="B7" s="1">
        <v>9001</v>
      </c>
      <c r="C7" s="11">
        <v>30</v>
      </c>
      <c r="D7" s="1" t="s">
        <v>675</v>
      </c>
      <c r="E7" s="1">
        <v>0</v>
      </c>
      <c r="F7" s="1">
        <v>0</v>
      </c>
    </row>
    <row r="8" spans="1:6" x14ac:dyDescent="0.2">
      <c r="B8" s="1">
        <v>9002</v>
      </c>
      <c r="C8" s="11">
        <v>98</v>
      </c>
      <c r="D8" s="1" t="s">
        <v>676</v>
      </c>
      <c r="E8" s="1">
        <v>0</v>
      </c>
      <c r="F8" s="1">
        <v>0</v>
      </c>
    </row>
    <row r="9" spans="1:6" x14ac:dyDescent="0.2">
      <c r="B9" s="1">
        <v>9003</v>
      </c>
      <c r="C9" s="11">
        <v>198</v>
      </c>
      <c r="D9" s="1" t="s">
        <v>677</v>
      </c>
      <c r="E9" s="1">
        <v>0</v>
      </c>
      <c r="F9" s="1">
        <v>0</v>
      </c>
    </row>
    <row r="10" spans="1:6" x14ac:dyDescent="0.2">
      <c r="B10" s="1">
        <v>9004</v>
      </c>
      <c r="C10" s="11">
        <v>328</v>
      </c>
      <c r="D10" s="1" t="s">
        <v>678</v>
      </c>
      <c r="E10" s="1">
        <v>0</v>
      </c>
      <c r="F10" s="1">
        <v>0</v>
      </c>
    </row>
    <row r="11" spans="1:6" x14ac:dyDescent="0.2">
      <c r="B11" s="1">
        <v>9005</v>
      </c>
      <c r="C11" s="11">
        <v>648</v>
      </c>
      <c r="D11" s="1" t="s">
        <v>679</v>
      </c>
      <c r="E11" s="1">
        <v>0</v>
      </c>
      <c r="F11" s="1">
        <v>0</v>
      </c>
    </row>
    <row r="12" spans="1:6" x14ac:dyDescent="0.2">
      <c r="B12" s="1">
        <v>71000</v>
      </c>
      <c r="C12" s="11">
        <v>6</v>
      </c>
      <c r="D12" s="1" t="s">
        <v>644</v>
      </c>
      <c r="E12" s="1">
        <v>2</v>
      </c>
      <c r="F12" s="1">
        <v>1</v>
      </c>
    </row>
    <row r="13" spans="1:6" x14ac:dyDescent="0.2">
      <c r="B13" s="1">
        <v>71001</v>
      </c>
      <c r="C13" s="11">
        <v>7</v>
      </c>
      <c r="D13" s="1" t="s">
        <v>680</v>
      </c>
      <c r="E13" s="1">
        <v>2</v>
      </c>
      <c r="F13" s="1">
        <v>1</v>
      </c>
    </row>
    <row r="14" spans="1:6" x14ac:dyDescent="0.2">
      <c r="B14" s="1">
        <v>71101</v>
      </c>
      <c r="C14" s="11">
        <v>30</v>
      </c>
      <c r="D14" s="1" t="s">
        <v>681</v>
      </c>
      <c r="E14" s="1">
        <v>1</v>
      </c>
      <c r="F14" s="1">
        <v>0</v>
      </c>
    </row>
    <row r="15" spans="1:6" x14ac:dyDescent="0.2">
      <c r="B15" s="1">
        <v>71102</v>
      </c>
      <c r="C15" s="11">
        <v>98</v>
      </c>
      <c r="D15" s="1" t="s">
        <v>682</v>
      </c>
      <c r="E15" s="1">
        <v>1</v>
      </c>
      <c r="F15" s="1">
        <v>0</v>
      </c>
    </row>
    <row r="16" spans="1:6" x14ac:dyDescent="0.2">
      <c r="B16" s="1">
        <v>71103</v>
      </c>
      <c r="C16" s="11">
        <v>258</v>
      </c>
      <c r="D16" s="1" t="s">
        <v>683</v>
      </c>
      <c r="E16" s="1">
        <v>1</v>
      </c>
      <c r="F16" s="1">
        <v>0</v>
      </c>
    </row>
    <row r="17" spans="2:6" x14ac:dyDescent="0.2">
      <c r="B17" s="1">
        <v>71104</v>
      </c>
      <c r="C17" s="11">
        <v>648</v>
      </c>
      <c r="D17" s="1" t="s">
        <v>684</v>
      </c>
      <c r="E17" s="1">
        <v>1</v>
      </c>
      <c r="F17" s="1">
        <v>0</v>
      </c>
    </row>
    <row r="18" spans="2:6" x14ac:dyDescent="0.2">
      <c r="B18" s="1">
        <v>71105</v>
      </c>
      <c r="C18" s="11">
        <v>1296</v>
      </c>
      <c r="D18" s="1" t="s">
        <v>685</v>
      </c>
      <c r="E18" s="1">
        <v>1</v>
      </c>
      <c r="F18" s="1">
        <v>0</v>
      </c>
    </row>
    <row r="19" spans="2:6" x14ac:dyDescent="0.2">
      <c r="B19" s="1">
        <v>10000</v>
      </c>
      <c r="C19" s="1">
        <v>6</v>
      </c>
      <c r="D19" s="1" t="s">
        <v>686</v>
      </c>
      <c r="E19" s="1">
        <v>3</v>
      </c>
      <c r="F19" s="1">
        <v>1</v>
      </c>
    </row>
    <row r="20" spans="2:6" x14ac:dyDescent="0.2">
      <c r="B20" s="1">
        <v>10001</v>
      </c>
      <c r="C20" s="1">
        <v>38</v>
      </c>
      <c r="D20" s="1" t="s">
        <v>687</v>
      </c>
      <c r="E20" s="1">
        <v>3</v>
      </c>
      <c r="F20" s="1">
        <v>1</v>
      </c>
    </row>
    <row r="21" spans="2:6" x14ac:dyDescent="0.2">
      <c r="B21" s="1">
        <v>10002</v>
      </c>
      <c r="C21" s="1">
        <v>68</v>
      </c>
      <c r="D21" s="1" t="s">
        <v>688</v>
      </c>
      <c r="E21" s="1">
        <v>3</v>
      </c>
      <c r="F21" s="1">
        <v>1</v>
      </c>
    </row>
    <row r="22" spans="2:6" x14ac:dyDescent="0.2">
      <c r="B22" s="1">
        <v>10003</v>
      </c>
      <c r="C22" s="1">
        <v>128</v>
      </c>
      <c r="D22" s="1" t="s">
        <v>689</v>
      </c>
      <c r="E22" s="1">
        <v>3</v>
      </c>
      <c r="F22" s="1">
        <v>1</v>
      </c>
    </row>
    <row r="23" spans="2:6" x14ac:dyDescent="0.2">
      <c r="B23" s="1">
        <v>10004</v>
      </c>
      <c r="C23" s="1">
        <v>388</v>
      </c>
      <c r="D23" s="1" t="s">
        <v>690</v>
      </c>
      <c r="E23" s="1">
        <v>3</v>
      </c>
      <c r="F23" s="1">
        <v>1</v>
      </c>
    </row>
    <row r="24" spans="2:6" x14ac:dyDescent="0.2">
      <c r="B24" s="1">
        <v>10005</v>
      </c>
      <c r="C24" s="1">
        <v>588</v>
      </c>
      <c r="D24" s="1" t="s">
        <v>691</v>
      </c>
      <c r="E24" s="1">
        <v>3</v>
      </c>
      <c r="F24" s="1">
        <v>1</v>
      </c>
    </row>
    <row r="25" spans="2:6" x14ac:dyDescent="0.2">
      <c r="B25" s="1">
        <v>10006</v>
      </c>
      <c r="C25" s="1">
        <v>888</v>
      </c>
      <c r="D25" s="1" t="s">
        <v>692</v>
      </c>
      <c r="E25" s="1">
        <v>3</v>
      </c>
      <c r="F25" s="1">
        <v>1</v>
      </c>
    </row>
    <row r="26" spans="2:6" x14ac:dyDescent="0.2">
      <c r="B26" s="1">
        <v>1000</v>
      </c>
      <c r="C26" s="1">
        <v>6</v>
      </c>
      <c r="D26" s="1" t="s">
        <v>693</v>
      </c>
      <c r="E26" s="1">
        <v>1</v>
      </c>
      <c r="F26" s="1">
        <v>0</v>
      </c>
    </row>
    <row r="27" spans="2:6" x14ac:dyDescent="0.2">
      <c r="B27" s="1">
        <v>1001</v>
      </c>
      <c r="C27" s="1">
        <v>58</v>
      </c>
      <c r="D27" s="1" t="s">
        <v>694</v>
      </c>
      <c r="E27" s="1">
        <v>1</v>
      </c>
      <c r="F27" s="1">
        <v>0</v>
      </c>
    </row>
    <row r="28" spans="2:6" x14ac:dyDescent="0.2">
      <c r="B28" s="1">
        <v>1002</v>
      </c>
      <c r="C28" s="1">
        <v>98</v>
      </c>
      <c r="D28" s="1" t="s">
        <v>695</v>
      </c>
      <c r="E28" s="1">
        <v>1</v>
      </c>
      <c r="F28" s="1">
        <v>0</v>
      </c>
    </row>
    <row r="29" spans="2:6" x14ac:dyDescent="0.2">
      <c r="B29" s="1">
        <v>1003</v>
      </c>
      <c r="C29" s="1">
        <v>258</v>
      </c>
      <c r="D29" s="1" t="s">
        <v>696</v>
      </c>
      <c r="E29" s="1">
        <v>1</v>
      </c>
      <c r="F29" s="1">
        <v>0</v>
      </c>
    </row>
    <row r="30" spans="2:6" x14ac:dyDescent="0.2">
      <c r="B30" s="1">
        <v>1004</v>
      </c>
      <c r="C30" s="1">
        <v>588</v>
      </c>
      <c r="D30" s="1" t="s">
        <v>697</v>
      </c>
      <c r="E30" s="1">
        <v>1</v>
      </c>
      <c r="F30" s="1">
        <v>0</v>
      </c>
    </row>
    <row r="31" spans="2:6" x14ac:dyDescent="0.2">
      <c r="B31" s="1">
        <v>100</v>
      </c>
      <c r="C31" s="1">
        <v>58</v>
      </c>
      <c r="D31" s="1" t="s">
        <v>698</v>
      </c>
      <c r="E31" s="1">
        <v>2</v>
      </c>
      <c r="F31" s="1">
        <v>0</v>
      </c>
    </row>
    <row r="32" spans="2:6" x14ac:dyDescent="0.2">
      <c r="B32" s="1">
        <v>101</v>
      </c>
      <c r="C32" s="1">
        <v>388</v>
      </c>
      <c r="D32" s="1" t="s">
        <v>699</v>
      </c>
      <c r="E32" s="1">
        <v>2</v>
      </c>
      <c r="F32" s="1">
        <v>0</v>
      </c>
    </row>
    <row r="33" spans="2:6" x14ac:dyDescent="0.2">
      <c r="B33" s="1">
        <v>102</v>
      </c>
      <c r="C33" s="1">
        <v>588</v>
      </c>
      <c r="D33" s="1" t="s">
        <v>700</v>
      </c>
      <c r="E33" s="1">
        <v>2</v>
      </c>
      <c r="F33" s="1">
        <v>0</v>
      </c>
    </row>
    <row r="34" spans="2:6" x14ac:dyDescent="0.2">
      <c r="B34" s="1">
        <v>722100</v>
      </c>
      <c r="C34" s="1">
        <v>80</v>
      </c>
      <c r="D34" s="1" t="s">
        <v>701</v>
      </c>
      <c r="E34" s="1">
        <v>2</v>
      </c>
      <c r="F34" s="1">
        <v>0</v>
      </c>
    </row>
    <row r="35" spans="2:6" x14ac:dyDescent="0.2">
      <c r="B35" s="1">
        <v>100000</v>
      </c>
      <c r="C35" s="1">
        <v>8</v>
      </c>
      <c r="D35" s="1" t="s">
        <v>702</v>
      </c>
      <c r="E35" s="1">
        <v>3</v>
      </c>
      <c r="F35" s="1">
        <v>1</v>
      </c>
    </row>
    <row r="36" spans="2:6" x14ac:dyDescent="0.2">
      <c r="B36" s="1">
        <v>100001</v>
      </c>
      <c r="C36" s="1">
        <v>58</v>
      </c>
      <c r="D36" s="1" t="s">
        <v>703</v>
      </c>
      <c r="E36" s="1">
        <v>3</v>
      </c>
      <c r="F36" s="1">
        <v>1</v>
      </c>
    </row>
    <row r="37" spans="2:6" x14ac:dyDescent="0.2">
      <c r="B37" s="1">
        <v>100002</v>
      </c>
      <c r="C37" s="1">
        <v>168</v>
      </c>
      <c r="D37" s="1" t="s">
        <v>704</v>
      </c>
      <c r="E37" s="1">
        <v>3</v>
      </c>
      <c r="F37" s="1">
        <v>1</v>
      </c>
    </row>
    <row r="38" spans="2:6" x14ac:dyDescent="0.2">
      <c r="B38" s="1">
        <v>888</v>
      </c>
      <c r="C38" s="1">
        <v>188</v>
      </c>
      <c r="D38" s="1" t="s">
        <v>705</v>
      </c>
      <c r="E38" s="1">
        <v>2</v>
      </c>
      <c r="F38" s="1">
        <v>0</v>
      </c>
    </row>
    <row r="39" spans="2:6" x14ac:dyDescent="0.2">
      <c r="B39" s="1">
        <v>889</v>
      </c>
      <c r="C39" s="1">
        <v>388</v>
      </c>
      <c r="D39" s="1" t="s">
        <v>706</v>
      </c>
      <c r="E39" s="1">
        <v>2</v>
      </c>
      <c r="F39" s="1">
        <v>0</v>
      </c>
    </row>
    <row r="40" spans="2:6" x14ac:dyDescent="0.2">
      <c r="B40" s="1">
        <v>890</v>
      </c>
      <c r="C40" s="1">
        <v>648</v>
      </c>
      <c r="D40" s="1" t="s">
        <v>707</v>
      </c>
      <c r="E40" s="1">
        <v>2</v>
      </c>
      <c r="F40" s="1">
        <v>0</v>
      </c>
    </row>
    <row r="41" spans="2:6" x14ac:dyDescent="0.2">
      <c r="B41" s="1">
        <v>777</v>
      </c>
      <c r="C41" s="1">
        <v>30</v>
      </c>
      <c r="D41" s="1" t="s">
        <v>708</v>
      </c>
      <c r="E41" s="1">
        <v>2</v>
      </c>
      <c r="F41" s="1">
        <v>0</v>
      </c>
    </row>
    <row r="42" spans="2:6" x14ac:dyDescent="0.2">
      <c r="B42" s="11">
        <v>300001</v>
      </c>
      <c r="C42" s="1">
        <v>30</v>
      </c>
      <c r="D42" s="1" t="s">
        <v>709</v>
      </c>
      <c r="E42" s="1">
        <v>0</v>
      </c>
      <c r="F42" s="1">
        <v>1</v>
      </c>
    </row>
    <row r="43" spans="2:6" x14ac:dyDescent="0.2">
      <c r="B43" s="11">
        <v>300002</v>
      </c>
      <c r="C43" s="1">
        <v>98</v>
      </c>
      <c r="D43" s="1" t="s">
        <v>710</v>
      </c>
      <c r="E43" s="1">
        <v>0</v>
      </c>
      <c r="F43" s="1">
        <v>1</v>
      </c>
    </row>
    <row r="44" spans="2:6" x14ac:dyDescent="0.2">
      <c r="B44" s="11">
        <v>300003</v>
      </c>
      <c r="C44" s="1">
        <v>328</v>
      </c>
      <c r="D44" s="1" t="s">
        <v>711</v>
      </c>
      <c r="E44" s="1">
        <v>0</v>
      </c>
      <c r="F44" s="1">
        <v>1</v>
      </c>
    </row>
    <row r="45" spans="2:6" x14ac:dyDescent="0.2">
      <c r="B45" s="11">
        <v>300004</v>
      </c>
      <c r="C45" s="1">
        <v>648</v>
      </c>
      <c r="D45" s="1" t="s">
        <v>712</v>
      </c>
      <c r="E45" s="1">
        <v>0</v>
      </c>
      <c r="F45" s="1">
        <v>1</v>
      </c>
    </row>
    <row r="46" spans="2:6" x14ac:dyDescent="0.2">
      <c r="B46" s="1">
        <v>50001</v>
      </c>
      <c r="C46" s="13">
        <v>100</v>
      </c>
      <c r="D46" s="1" t="s">
        <v>713</v>
      </c>
      <c r="E46" s="1">
        <v>2</v>
      </c>
      <c r="F46" s="1">
        <v>1</v>
      </c>
    </row>
    <row r="47" spans="2:6" x14ac:dyDescent="0.2">
      <c r="B47" s="1">
        <v>50002</v>
      </c>
      <c r="C47" s="13">
        <v>80</v>
      </c>
      <c r="D47" s="1" t="s">
        <v>714</v>
      </c>
      <c r="E47" s="1">
        <v>2</v>
      </c>
      <c r="F47" s="1">
        <v>1</v>
      </c>
    </row>
    <row r="48" spans="2:6" x14ac:dyDescent="0.2">
      <c r="B48" s="1">
        <v>50003</v>
      </c>
      <c r="C48" s="13">
        <v>68</v>
      </c>
      <c r="D48" s="1" t="s">
        <v>715</v>
      </c>
      <c r="E48" s="1">
        <v>2</v>
      </c>
      <c r="F48" s="1">
        <v>1</v>
      </c>
    </row>
    <row r="49" spans="2:6" x14ac:dyDescent="0.2">
      <c r="B49" s="1">
        <v>50004</v>
      </c>
      <c r="C49" s="13">
        <v>58</v>
      </c>
      <c r="D49" s="1" t="s">
        <v>716</v>
      </c>
      <c r="E49" s="1">
        <v>2</v>
      </c>
      <c r="F49" s="1">
        <v>1</v>
      </c>
    </row>
    <row r="50" spans="2:6" x14ac:dyDescent="0.2">
      <c r="B50" s="1">
        <v>50005</v>
      </c>
      <c r="C50" s="13">
        <v>38</v>
      </c>
      <c r="D50" s="1" t="s">
        <v>717</v>
      </c>
      <c r="E50" s="1">
        <v>2</v>
      </c>
      <c r="F50" s="1">
        <v>1</v>
      </c>
    </row>
    <row r="51" spans="2:6" x14ac:dyDescent="0.2">
      <c r="B51" s="1">
        <v>7001</v>
      </c>
      <c r="C51" s="1">
        <v>6</v>
      </c>
      <c r="D51" s="1" t="s">
        <v>718</v>
      </c>
      <c r="E51" s="1">
        <v>1</v>
      </c>
      <c r="F51" s="1">
        <v>1</v>
      </c>
    </row>
    <row r="52" spans="2:6" x14ac:dyDescent="0.2">
      <c r="B52" s="1">
        <v>7002</v>
      </c>
      <c r="C52" s="1">
        <v>128</v>
      </c>
      <c r="D52" s="1" t="s">
        <v>719</v>
      </c>
      <c r="E52" s="1">
        <v>1</v>
      </c>
      <c r="F52" s="1">
        <v>1</v>
      </c>
    </row>
    <row r="53" spans="2:6" x14ac:dyDescent="0.2">
      <c r="B53" s="1">
        <v>7003</v>
      </c>
      <c r="C53" s="1">
        <v>388</v>
      </c>
      <c r="D53" s="1" t="s">
        <v>720</v>
      </c>
      <c r="E53" s="1">
        <v>1</v>
      </c>
      <c r="F53" s="1">
        <v>1</v>
      </c>
    </row>
    <row r="54" spans="2:6" x14ac:dyDescent="0.2">
      <c r="B54" s="1">
        <v>40001</v>
      </c>
      <c r="C54" s="1">
        <v>88</v>
      </c>
      <c r="D54" s="1" t="s">
        <v>721</v>
      </c>
      <c r="E54" s="1">
        <v>3</v>
      </c>
      <c r="F54" s="1">
        <v>1</v>
      </c>
    </row>
    <row r="55" spans="2:6" x14ac:dyDescent="0.2">
      <c r="B55" s="1">
        <v>40002</v>
      </c>
      <c r="C55" s="1">
        <v>388</v>
      </c>
      <c r="D55" s="1" t="s">
        <v>722</v>
      </c>
      <c r="E55" s="1">
        <v>3</v>
      </c>
      <c r="F55" s="1">
        <v>1</v>
      </c>
    </row>
    <row r="56" spans="2:6" x14ac:dyDescent="0.2">
      <c r="B56" s="1">
        <v>40003</v>
      </c>
      <c r="C56" s="1">
        <v>888</v>
      </c>
      <c r="D56" s="1" t="s">
        <v>723</v>
      </c>
      <c r="E56" s="1">
        <v>3</v>
      </c>
      <c r="F56" s="1">
        <v>1</v>
      </c>
    </row>
    <row r="57" spans="2:6" x14ac:dyDescent="0.2">
      <c r="B57" s="1">
        <v>40004</v>
      </c>
      <c r="C57" s="1">
        <v>1296</v>
      </c>
      <c r="D57" s="1" t="s">
        <v>724</v>
      </c>
      <c r="E57" s="1">
        <v>3</v>
      </c>
      <c r="F57" s="1">
        <v>1</v>
      </c>
    </row>
    <row r="58" spans="2:6" x14ac:dyDescent="0.2">
      <c r="B58" s="1">
        <v>341</v>
      </c>
      <c r="C58" s="1">
        <v>6</v>
      </c>
      <c r="D58" s="1" t="s">
        <v>725</v>
      </c>
      <c r="E58" s="1">
        <v>0</v>
      </c>
      <c r="F58" s="1">
        <v>1</v>
      </c>
    </row>
    <row r="59" spans="2:6" x14ac:dyDescent="0.2">
      <c r="B59" s="1">
        <v>342</v>
      </c>
      <c r="C59" s="1">
        <v>132</v>
      </c>
      <c r="D59" s="1" t="s">
        <v>726</v>
      </c>
      <c r="E59" s="1">
        <v>0</v>
      </c>
      <c r="F59" s="1">
        <v>1</v>
      </c>
    </row>
    <row r="60" spans="2:6" x14ac:dyDescent="0.2">
      <c r="B60" s="1">
        <v>343</v>
      </c>
      <c r="C60" s="1">
        <v>666</v>
      </c>
      <c r="D60" s="1" t="s">
        <v>727</v>
      </c>
      <c r="E60" s="1">
        <v>0</v>
      </c>
      <c r="F60" s="1">
        <v>1</v>
      </c>
    </row>
    <row r="61" spans="2:6" x14ac:dyDescent="0.2">
      <c r="B61" s="1">
        <v>900</v>
      </c>
      <c r="C61" s="1">
        <v>6</v>
      </c>
      <c r="D61" s="1" t="s">
        <v>728</v>
      </c>
      <c r="E61" s="1">
        <v>0</v>
      </c>
      <c r="F61" s="1">
        <v>1</v>
      </c>
    </row>
    <row r="62" spans="2:6" x14ac:dyDescent="0.2">
      <c r="B62" s="1">
        <v>901</v>
      </c>
      <c r="C62" s="1">
        <v>12</v>
      </c>
      <c r="D62" s="1" t="s">
        <v>729</v>
      </c>
      <c r="E62" s="1">
        <v>0</v>
      </c>
      <c r="F62" s="1">
        <v>1</v>
      </c>
    </row>
    <row r="63" spans="2:6" x14ac:dyDescent="0.2">
      <c r="B63" s="1">
        <v>902</v>
      </c>
      <c r="C63" s="1">
        <v>18</v>
      </c>
      <c r="D63" s="1" t="s">
        <v>730</v>
      </c>
      <c r="E63" s="1">
        <v>0</v>
      </c>
      <c r="F63" s="1">
        <v>1</v>
      </c>
    </row>
    <row r="64" spans="2:6" x14ac:dyDescent="0.2">
      <c r="B64" s="1">
        <v>903</v>
      </c>
      <c r="C64" s="1">
        <v>24</v>
      </c>
      <c r="D64" s="1" t="s">
        <v>731</v>
      </c>
      <c r="E64" s="1">
        <v>0</v>
      </c>
      <c r="F64" s="1">
        <v>1</v>
      </c>
    </row>
    <row r="65" spans="2:7" x14ac:dyDescent="0.2">
      <c r="B65" s="1">
        <v>904</v>
      </c>
      <c r="C65" s="1">
        <v>36</v>
      </c>
      <c r="D65" s="1" t="s">
        <v>732</v>
      </c>
      <c r="E65" s="1">
        <v>0</v>
      </c>
      <c r="F65" s="1">
        <v>1</v>
      </c>
    </row>
    <row r="66" spans="2:7" x14ac:dyDescent="0.2">
      <c r="B66" s="1">
        <v>905</v>
      </c>
      <c r="C66" s="1">
        <v>48</v>
      </c>
      <c r="D66" s="1" t="s">
        <v>733</v>
      </c>
      <c r="E66" s="1">
        <v>0</v>
      </c>
      <c r="F66" s="1">
        <v>1</v>
      </c>
    </row>
    <row r="67" spans="2:7" x14ac:dyDescent="0.2">
      <c r="B67" s="1">
        <v>906</v>
      </c>
      <c r="C67" s="1">
        <v>66</v>
      </c>
      <c r="D67" s="1" t="s">
        <v>734</v>
      </c>
      <c r="E67" s="1">
        <v>0</v>
      </c>
      <c r="F67" s="1">
        <v>1</v>
      </c>
    </row>
    <row r="68" spans="2:7" x14ac:dyDescent="0.2">
      <c r="B68" s="1">
        <v>907</v>
      </c>
      <c r="C68" s="1">
        <v>98</v>
      </c>
      <c r="D68" s="1" t="s">
        <v>735</v>
      </c>
      <c r="E68" s="1">
        <v>0</v>
      </c>
      <c r="F68" s="1">
        <v>1</v>
      </c>
    </row>
    <row r="69" spans="2:7" x14ac:dyDescent="0.2">
      <c r="B69" s="1">
        <v>908</v>
      </c>
      <c r="C69" s="1">
        <v>128</v>
      </c>
      <c r="D69" s="1" t="s">
        <v>736</v>
      </c>
      <c r="E69" s="1">
        <v>0</v>
      </c>
      <c r="F69" s="1">
        <v>1</v>
      </c>
    </row>
    <row r="70" spans="2:7" x14ac:dyDescent="0.2">
      <c r="B70" s="1">
        <v>909</v>
      </c>
      <c r="C70" s="1">
        <v>168</v>
      </c>
      <c r="D70" s="1" t="s">
        <v>737</v>
      </c>
      <c r="E70" s="1">
        <v>0</v>
      </c>
      <c r="F70" s="1">
        <v>1</v>
      </c>
    </row>
    <row r="71" spans="2:7" x14ac:dyDescent="0.2">
      <c r="B71" s="1">
        <v>910</v>
      </c>
      <c r="C71" s="1">
        <v>198</v>
      </c>
      <c r="D71" s="1" t="s">
        <v>738</v>
      </c>
      <c r="E71" s="1">
        <v>0</v>
      </c>
      <c r="F71" s="1">
        <v>1</v>
      </c>
    </row>
    <row r="72" spans="2:7" x14ac:dyDescent="0.2">
      <c r="B72" s="1">
        <v>8000</v>
      </c>
      <c r="C72" s="1">
        <v>30</v>
      </c>
      <c r="D72" s="13" t="s">
        <v>739</v>
      </c>
      <c r="E72" s="1">
        <v>1</v>
      </c>
      <c r="F72" s="1">
        <v>1</v>
      </c>
      <c r="G72" s="13"/>
    </row>
    <row r="73" spans="2:7" x14ac:dyDescent="0.2">
      <c r="B73" s="1">
        <v>8001</v>
      </c>
      <c r="C73" s="1">
        <v>98</v>
      </c>
      <c r="D73" s="13" t="s">
        <v>740</v>
      </c>
      <c r="E73" s="1">
        <v>1</v>
      </c>
      <c r="F73" s="1">
        <v>1</v>
      </c>
      <c r="G73" s="13"/>
    </row>
    <row r="74" spans="2:7" x14ac:dyDescent="0.2">
      <c r="B74" s="1">
        <v>8002</v>
      </c>
      <c r="C74" s="1">
        <v>198</v>
      </c>
      <c r="D74" s="13" t="s">
        <v>741</v>
      </c>
      <c r="E74" s="1">
        <v>1</v>
      </c>
      <c r="F74" s="1">
        <v>1</v>
      </c>
      <c r="G74" s="13"/>
    </row>
    <row r="75" spans="2:7" x14ac:dyDescent="0.2">
      <c r="B75" s="1">
        <v>8003</v>
      </c>
      <c r="C75" s="1">
        <v>328</v>
      </c>
      <c r="D75" s="13" t="s">
        <v>742</v>
      </c>
      <c r="E75" s="1">
        <v>1</v>
      </c>
      <c r="F75" s="1">
        <v>1</v>
      </c>
      <c r="G75" s="13"/>
    </row>
    <row r="76" spans="2:7" x14ac:dyDescent="0.2">
      <c r="B76" s="1">
        <v>8004</v>
      </c>
      <c r="C76" s="1">
        <v>648</v>
      </c>
      <c r="D76" s="13" t="s">
        <v>743</v>
      </c>
      <c r="E76" s="1">
        <v>1</v>
      </c>
      <c r="F76" s="1">
        <v>1</v>
      </c>
      <c r="G76" s="13"/>
    </row>
    <row r="77" spans="2:7" x14ac:dyDescent="0.2">
      <c r="B77" s="1">
        <v>8005</v>
      </c>
      <c r="C77" s="1">
        <v>1296</v>
      </c>
      <c r="D77" s="13" t="s">
        <v>744</v>
      </c>
      <c r="E77" s="1">
        <v>1</v>
      </c>
      <c r="F77" s="1">
        <v>1</v>
      </c>
      <c r="G77" s="13"/>
    </row>
  </sheetData>
  <phoneticPr fontId="12" type="noConversion"/>
  <pageMargins left="0.7" right="0.7" top="0.75" bottom="0.75" header="0.3" footer="0.3"/>
  <pageSetup paperSize="9" orientation="portrait"/>
  <legacy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O10"/>
  <sheetViews>
    <sheetView workbookViewId="0">
      <selection activeCell="D34" sqref="D34"/>
    </sheetView>
  </sheetViews>
  <sheetFormatPr defaultColWidth="9" defaultRowHeight="14.25" x14ac:dyDescent="0.2"/>
  <cols>
    <col min="2" max="2" width="17.25" customWidth="1"/>
    <col min="3" max="3" width="22.875" customWidth="1"/>
    <col min="4" max="4" width="30.25" customWidth="1"/>
    <col min="5" max="5" width="33.5" customWidth="1"/>
    <col min="6" max="6" width="28.625" customWidth="1"/>
    <col min="7" max="7" width="40.25" customWidth="1"/>
    <col min="8" max="8" width="26.5" customWidth="1"/>
    <col min="9" max="9" width="26" customWidth="1"/>
    <col min="10" max="11" width="23.75" customWidth="1"/>
    <col min="12" max="12" width="17.25" customWidth="1"/>
    <col min="13" max="13" width="13.625" customWidth="1"/>
    <col min="14" max="14" width="16.75" customWidth="1"/>
    <col min="15" max="15" width="15.125" customWidth="1"/>
  </cols>
  <sheetData>
    <row r="1" spans="1:15" x14ac:dyDescent="0.2">
      <c r="A1" s="2" t="s">
        <v>0</v>
      </c>
      <c r="B1" s="3" t="s">
        <v>1</v>
      </c>
      <c r="C1" s="3" t="s">
        <v>745</v>
      </c>
      <c r="D1" s="3" t="s">
        <v>746</v>
      </c>
      <c r="E1" s="3" t="s">
        <v>747</v>
      </c>
      <c r="F1" s="3" t="s">
        <v>748</v>
      </c>
      <c r="G1" s="3" t="s">
        <v>749</v>
      </c>
      <c r="H1" s="3" t="s">
        <v>750</v>
      </c>
      <c r="I1" s="3" t="s">
        <v>751</v>
      </c>
      <c r="J1" s="3" t="s">
        <v>752</v>
      </c>
      <c r="K1" s="3" t="s">
        <v>753</v>
      </c>
      <c r="L1" s="3" t="s">
        <v>754</v>
      </c>
      <c r="M1" s="3" t="s">
        <v>755</v>
      </c>
      <c r="N1" s="3" t="s">
        <v>756</v>
      </c>
      <c r="O1" s="3" t="s">
        <v>757</v>
      </c>
    </row>
    <row r="2" spans="1:15" x14ac:dyDescent="0.2">
      <c r="A2" s="2" t="s">
        <v>0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spans="1:15" x14ac:dyDescent="0.2">
      <c r="A3" s="5" t="s">
        <v>6</v>
      </c>
      <c r="B3" s="3" t="s">
        <v>7</v>
      </c>
      <c r="C3" s="3" t="s">
        <v>7</v>
      </c>
      <c r="D3" s="3" t="s">
        <v>7</v>
      </c>
      <c r="E3" s="3" t="s">
        <v>83</v>
      </c>
      <c r="F3" s="3" t="s">
        <v>7</v>
      </c>
      <c r="G3" s="3" t="s">
        <v>7</v>
      </c>
      <c r="H3" s="3" t="s">
        <v>7</v>
      </c>
      <c r="I3" s="3" t="s">
        <v>7</v>
      </c>
      <c r="J3" s="3" t="s">
        <v>758</v>
      </c>
      <c r="K3" s="3" t="s">
        <v>83</v>
      </c>
      <c r="L3" s="3" t="s">
        <v>83</v>
      </c>
      <c r="M3" s="3" t="s">
        <v>83</v>
      </c>
      <c r="N3" s="3" t="s">
        <v>7</v>
      </c>
      <c r="O3" s="3" t="s">
        <v>83</v>
      </c>
    </row>
    <row r="4" spans="1:15" x14ac:dyDescent="0.2">
      <c r="A4" s="5" t="s">
        <v>9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</row>
    <row r="5" spans="1:15" x14ac:dyDescent="0.2">
      <c r="A5" s="2" t="s">
        <v>10</v>
      </c>
      <c r="B5" s="1" t="s">
        <v>664</v>
      </c>
      <c r="C5" s="1" t="s">
        <v>759</v>
      </c>
      <c r="D5" t="s">
        <v>760</v>
      </c>
      <c r="E5" t="s">
        <v>761</v>
      </c>
      <c r="F5" t="s">
        <v>762</v>
      </c>
      <c r="G5" t="s">
        <v>763</v>
      </c>
      <c r="H5" t="s">
        <v>764</v>
      </c>
      <c r="I5" t="s">
        <v>765</v>
      </c>
      <c r="J5" t="s">
        <v>766</v>
      </c>
      <c r="K5" t="s">
        <v>767</v>
      </c>
      <c r="L5" t="s">
        <v>768</v>
      </c>
      <c r="M5" t="s">
        <v>769</v>
      </c>
      <c r="N5" t="s">
        <v>770</v>
      </c>
      <c r="O5" t="s">
        <v>771</v>
      </c>
    </row>
    <row r="6" spans="1:15" x14ac:dyDescent="0.2">
      <c r="A6" s="2" t="s">
        <v>10</v>
      </c>
      <c r="B6" s="1" t="s">
        <v>772</v>
      </c>
      <c r="C6" s="1" t="s">
        <v>773</v>
      </c>
      <c r="D6" t="s">
        <v>774</v>
      </c>
      <c r="E6" t="s">
        <v>775</v>
      </c>
      <c r="F6" t="s">
        <v>776</v>
      </c>
      <c r="G6" t="s">
        <v>777</v>
      </c>
      <c r="H6" t="s">
        <v>778</v>
      </c>
      <c r="I6" t="s">
        <v>779</v>
      </c>
      <c r="J6" t="s">
        <v>780</v>
      </c>
      <c r="K6" t="s">
        <v>781</v>
      </c>
      <c r="L6" t="s">
        <v>782</v>
      </c>
      <c r="N6" t="s">
        <v>783</v>
      </c>
    </row>
    <row r="7" spans="1:15" x14ac:dyDescent="0.2">
      <c r="B7">
        <v>1</v>
      </c>
      <c r="C7">
        <v>4000</v>
      </c>
      <c r="D7">
        <v>800</v>
      </c>
      <c r="E7" s="20" t="s">
        <v>784</v>
      </c>
      <c r="F7">
        <v>935</v>
      </c>
      <c r="G7">
        <v>1200</v>
      </c>
      <c r="H7">
        <v>965</v>
      </c>
      <c r="I7">
        <v>925</v>
      </c>
      <c r="J7" s="20" t="s">
        <v>785</v>
      </c>
      <c r="K7" s="20" t="s">
        <v>786</v>
      </c>
      <c r="L7" s="20" t="s">
        <v>787</v>
      </c>
      <c r="M7" s="20" t="s">
        <v>788</v>
      </c>
      <c r="N7">
        <v>945</v>
      </c>
      <c r="O7" s="20" t="s">
        <v>788</v>
      </c>
    </row>
    <row r="8" spans="1:15" x14ac:dyDescent="0.2">
      <c r="B8">
        <v>2</v>
      </c>
      <c r="C8">
        <v>5000</v>
      </c>
      <c r="D8">
        <v>800</v>
      </c>
      <c r="E8" s="20" t="s">
        <v>789</v>
      </c>
      <c r="F8">
        <v>935</v>
      </c>
      <c r="G8">
        <v>1200</v>
      </c>
      <c r="H8">
        <v>965</v>
      </c>
      <c r="I8">
        <v>925</v>
      </c>
      <c r="J8" s="20" t="s">
        <v>790</v>
      </c>
      <c r="K8" s="20" t="s">
        <v>786</v>
      </c>
      <c r="L8" s="20" t="s">
        <v>787</v>
      </c>
      <c r="M8" s="20" t="s">
        <v>791</v>
      </c>
      <c r="N8">
        <v>945</v>
      </c>
      <c r="O8" s="20" t="s">
        <v>791</v>
      </c>
    </row>
    <row r="9" spans="1:15" x14ac:dyDescent="0.2">
      <c r="B9">
        <v>3</v>
      </c>
      <c r="C9">
        <v>6000</v>
      </c>
      <c r="D9">
        <v>700</v>
      </c>
      <c r="E9" s="20" t="s">
        <v>792</v>
      </c>
      <c r="F9">
        <v>935</v>
      </c>
      <c r="G9">
        <v>1200</v>
      </c>
      <c r="H9">
        <v>965</v>
      </c>
      <c r="I9">
        <v>925</v>
      </c>
      <c r="J9" s="20" t="s">
        <v>793</v>
      </c>
      <c r="K9" s="20" t="s">
        <v>786</v>
      </c>
      <c r="L9" s="20" t="s">
        <v>787</v>
      </c>
      <c r="M9" s="20" t="s">
        <v>791</v>
      </c>
      <c r="N9">
        <v>945</v>
      </c>
      <c r="O9" s="20" t="s">
        <v>791</v>
      </c>
    </row>
    <row r="10" spans="1:15" x14ac:dyDescent="0.2">
      <c r="B10">
        <v>4</v>
      </c>
      <c r="C10">
        <v>6000</v>
      </c>
      <c r="D10">
        <v>700</v>
      </c>
      <c r="E10" s="20" t="s">
        <v>792</v>
      </c>
      <c r="F10">
        <v>935</v>
      </c>
      <c r="G10">
        <v>1200</v>
      </c>
      <c r="H10">
        <v>965</v>
      </c>
      <c r="I10">
        <v>925</v>
      </c>
      <c r="J10" s="20" t="s">
        <v>793</v>
      </c>
      <c r="K10" s="20" t="s">
        <v>786</v>
      </c>
      <c r="L10" s="20" t="s">
        <v>787</v>
      </c>
      <c r="M10" s="20" t="s">
        <v>791</v>
      </c>
      <c r="N10">
        <v>945</v>
      </c>
      <c r="O10" s="20" t="s">
        <v>791</v>
      </c>
    </row>
  </sheetData>
  <phoneticPr fontId="12" type="noConversion"/>
  <pageMargins left="0.7" right="0.7" top="0.75" bottom="0.75" header="0.3" footer="0.3"/>
  <pageSetup paperSize="9" orientation="portrait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G12"/>
  <sheetViews>
    <sheetView workbookViewId="0">
      <selection activeCell="D18" sqref="D18"/>
    </sheetView>
  </sheetViews>
  <sheetFormatPr defaultColWidth="9" defaultRowHeight="14.25" x14ac:dyDescent="0.2"/>
  <cols>
    <col min="1" max="1" width="9" style="1"/>
    <col min="2" max="2" width="14.25" style="1" customWidth="1"/>
    <col min="3" max="3" width="17.5" style="1" customWidth="1"/>
    <col min="4" max="4" width="84.5" style="1" customWidth="1"/>
    <col min="5" max="5" width="22.75" style="1" customWidth="1"/>
    <col min="6" max="6" width="19.125" style="1" customWidth="1"/>
    <col min="7" max="16384" width="9" style="1"/>
  </cols>
  <sheetData>
    <row r="1" spans="1:7" x14ac:dyDescent="0.2">
      <c r="A1" s="2" t="s">
        <v>0</v>
      </c>
      <c r="B1" s="3" t="s">
        <v>1</v>
      </c>
      <c r="C1" s="3" t="s">
        <v>66</v>
      </c>
      <c r="D1" s="3" t="s">
        <v>794</v>
      </c>
      <c r="E1" s="3" t="s">
        <v>639</v>
      </c>
      <c r="F1" s="3" t="s">
        <v>127</v>
      </c>
    </row>
    <row r="2" spans="1:7" x14ac:dyDescent="0.2">
      <c r="A2" s="2" t="s">
        <v>0</v>
      </c>
      <c r="B2" s="2"/>
      <c r="C2" s="2"/>
      <c r="D2" s="2"/>
      <c r="E2" s="2"/>
      <c r="F2" s="2"/>
    </row>
    <row r="3" spans="1:7" x14ac:dyDescent="0.2">
      <c r="A3" s="5" t="s">
        <v>6</v>
      </c>
      <c r="B3" s="3" t="s">
        <v>7</v>
      </c>
      <c r="C3" s="3" t="s">
        <v>8</v>
      </c>
      <c r="D3" s="4" t="s">
        <v>225</v>
      </c>
      <c r="E3" s="4" t="s">
        <v>225</v>
      </c>
      <c r="F3" s="3" t="s">
        <v>7</v>
      </c>
    </row>
    <row r="4" spans="1:7" x14ac:dyDescent="0.2">
      <c r="A4" s="5" t="s">
        <v>9</v>
      </c>
      <c r="B4" s="5"/>
      <c r="C4" s="5"/>
      <c r="D4" s="5"/>
      <c r="E4" s="5"/>
      <c r="F4" s="5"/>
    </row>
    <row r="5" spans="1:7" x14ac:dyDescent="0.2">
      <c r="A5" s="2" t="s">
        <v>10</v>
      </c>
      <c r="B5" s="1" t="s">
        <v>48</v>
      </c>
      <c r="C5" s="1" t="s">
        <v>640</v>
      </c>
      <c r="D5" s="1" t="s">
        <v>795</v>
      </c>
      <c r="E5" s="1" t="s">
        <v>796</v>
      </c>
      <c r="F5" s="1" t="s">
        <v>448</v>
      </c>
    </row>
    <row r="6" spans="1:7" x14ac:dyDescent="0.2">
      <c r="B6" s="1">
        <v>888</v>
      </c>
      <c r="C6" s="1" t="s">
        <v>705</v>
      </c>
      <c r="D6" s="19" t="s">
        <v>797</v>
      </c>
      <c r="E6" s="19" t="s">
        <v>798</v>
      </c>
      <c r="F6" s="1">
        <v>188</v>
      </c>
      <c r="G6" s="11"/>
    </row>
    <row r="7" spans="1:7" x14ac:dyDescent="0.2">
      <c r="B7" s="1">
        <v>889</v>
      </c>
      <c r="C7" s="1" t="s">
        <v>706</v>
      </c>
      <c r="D7" s="19" t="s">
        <v>799</v>
      </c>
      <c r="E7" s="19" t="s">
        <v>800</v>
      </c>
      <c r="F7" s="1">
        <v>388</v>
      </c>
      <c r="G7" s="11"/>
    </row>
    <row r="8" spans="1:7" x14ac:dyDescent="0.2">
      <c r="B8" s="1">
        <v>890</v>
      </c>
      <c r="C8" s="1" t="s">
        <v>707</v>
      </c>
      <c r="D8" s="19" t="s">
        <v>801</v>
      </c>
      <c r="E8" s="19" t="s">
        <v>802</v>
      </c>
      <c r="F8" s="1">
        <v>648</v>
      </c>
      <c r="G8" s="11"/>
    </row>
    <row r="9" spans="1:7" x14ac:dyDescent="0.2">
      <c r="E9" s="19"/>
      <c r="G9" s="11"/>
    </row>
    <row r="10" spans="1:7" x14ac:dyDescent="0.2">
      <c r="E10" s="19"/>
      <c r="G10" s="11"/>
    </row>
    <row r="11" spans="1:7" x14ac:dyDescent="0.2">
      <c r="E11" s="19"/>
    </row>
    <row r="12" spans="1:7" x14ac:dyDescent="0.2">
      <c r="E12" s="19"/>
    </row>
  </sheetData>
  <phoneticPr fontId="12" type="noConversion"/>
  <pageMargins left="0.75" right="0.75" top="1" bottom="1" header="0.5" footer="0.5"/>
  <pageSetup paperSize="9" orientation="portrait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G14"/>
  <sheetViews>
    <sheetView workbookViewId="0">
      <selection activeCell="F37" sqref="F37"/>
    </sheetView>
  </sheetViews>
  <sheetFormatPr defaultColWidth="9" defaultRowHeight="14.25" x14ac:dyDescent="0.2"/>
  <cols>
    <col min="1" max="2" width="9" style="29"/>
    <col min="3" max="3" width="16.625" style="29" customWidth="1"/>
    <col min="4" max="4" width="20.5" style="29" customWidth="1"/>
    <col min="5" max="5" width="25.25" style="29" customWidth="1"/>
    <col min="6" max="6" width="72.375" style="29" customWidth="1"/>
    <col min="7" max="7" width="56.625" style="29" customWidth="1"/>
    <col min="8" max="16384" width="9" style="29"/>
  </cols>
  <sheetData>
    <row r="1" spans="1:7" x14ac:dyDescent="0.2">
      <c r="A1" s="30" t="s">
        <v>0</v>
      </c>
      <c r="B1" s="31" t="s">
        <v>1</v>
      </c>
      <c r="C1" s="31" t="s">
        <v>52</v>
      </c>
      <c r="D1" s="31" t="s">
        <v>803</v>
      </c>
      <c r="E1" s="31" t="s">
        <v>3</v>
      </c>
      <c r="F1" s="31" t="s">
        <v>167</v>
      </c>
      <c r="G1" s="29" t="s">
        <v>804</v>
      </c>
    </row>
    <row r="2" spans="1:7" x14ac:dyDescent="0.2">
      <c r="A2" s="30" t="s">
        <v>0</v>
      </c>
      <c r="B2" s="30"/>
      <c r="C2" s="30"/>
      <c r="D2" s="30"/>
      <c r="E2" s="30"/>
      <c r="F2" s="30"/>
    </row>
    <row r="3" spans="1:7" x14ac:dyDescent="0.2">
      <c r="A3" s="32" t="s">
        <v>6</v>
      </c>
      <c r="B3" s="31" t="s">
        <v>7</v>
      </c>
      <c r="C3" s="31" t="s">
        <v>7</v>
      </c>
      <c r="D3" s="33" t="s">
        <v>7</v>
      </c>
      <c r="E3" s="33" t="s">
        <v>225</v>
      </c>
      <c r="F3" s="31" t="s">
        <v>8</v>
      </c>
      <c r="G3" s="29" t="s">
        <v>8</v>
      </c>
    </row>
    <row r="4" spans="1:7" x14ac:dyDescent="0.2">
      <c r="A4" s="32" t="s">
        <v>9</v>
      </c>
      <c r="B4" s="32"/>
      <c r="C4" s="32"/>
      <c r="D4" s="32"/>
      <c r="E4" s="32"/>
      <c r="F4" s="32"/>
    </row>
    <row r="5" spans="1:7" ht="15" customHeight="1" x14ac:dyDescent="0.2">
      <c r="A5" s="30" t="s">
        <v>10</v>
      </c>
      <c r="B5" s="29" t="s">
        <v>48</v>
      </c>
      <c r="C5" s="29" t="s">
        <v>805</v>
      </c>
      <c r="D5" s="29" t="s">
        <v>806</v>
      </c>
      <c r="E5" s="29" t="s">
        <v>807</v>
      </c>
      <c r="F5" s="29" t="s">
        <v>808</v>
      </c>
      <c r="G5" s="29" t="s">
        <v>809</v>
      </c>
    </row>
    <row r="6" spans="1:7" x14ac:dyDescent="0.2">
      <c r="B6" s="29">
        <v>1101</v>
      </c>
      <c r="C6" s="29">
        <v>1</v>
      </c>
      <c r="D6" s="29">
        <v>1</v>
      </c>
      <c r="E6" s="34" t="s">
        <v>810</v>
      </c>
      <c r="F6" s="29" t="s">
        <v>811</v>
      </c>
      <c r="G6" s="29" t="s">
        <v>812</v>
      </c>
    </row>
    <row r="7" spans="1:7" x14ac:dyDescent="0.2">
      <c r="B7" s="29">
        <v>1102</v>
      </c>
      <c r="C7" s="29">
        <v>1</v>
      </c>
      <c r="D7" s="29">
        <v>2</v>
      </c>
      <c r="E7" s="34" t="s">
        <v>813</v>
      </c>
      <c r="F7" s="29" t="s">
        <v>814</v>
      </c>
      <c r="G7" s="29" t="s">
        <v>815</v>
      </c>
    </row>
    <row r="8" spans="1:7" x14ac:dyDescent="0.2">
      <c r="B8" s="29">
        <v>1103</v>
      </c>
      <c r="C8" s="29">
        <v>1</v>
      </c>
      <c r="D8" s="29">
        <v>3</v>
      </c>
      <c r="E8" s="34" t="s">
        <v>513</v>
      </c>
      <c r="F8" s="29" t="s">
        <v>816</v>
      </c>
      <c r="G8" s="29" t="s">
        <v>817</v>
      </c>
    </row>
    <row r="9" spans="1:7" x14ac:dyDescent="0.2">
      <c r="B9" s="29">
        <v>2201</v>
      </c>
      <c r="C9" s="29">
        <v>2</v>
      </c>
      <c r="D9" s="29">
        <v>1</v>
      </c>
      <c r="E9" s="34" t="s">
        <v>818</v>
      </c>
      <c r="F9" s="29" t="s">
        <v>819</v>
      </c>
      <c r="G9" s="29" t="s">
        <v>820</v>
      </c>
    </row>
    <row r="10" spans="1:7" x14ac:dyDescent="0.2">
      <c r="B10" s="29">
        <v>2202</v>
      </c>
      <c r="C10" s="29">
        <v>2</v>
      </c>
      <c r="D10" s="29">
        <v>2</v>
      </c>
      <c r="E10" s="34" t="s">
        <v>821</v>
      </c>
      <c r="F10" s="29" t="s">
        <v>822</v>
      </c>
      <c r="G10" s="29" t="s">
        <v>823</v>
      </c>
    </row>
    <row r="11" spans="1:7" x14ac:dyDescent="0.2">
      <c r="B11" s="29">
        <v>2203</v>
      </c>
      <c r="C11" s="29">
        <v>2</v>
      </c>
      <c r="D11" s="29">
        <v>3</v>
      </c>
      <c r="E11" s="34" t="s">
        <v>824</v>
      </c>
      <c r="F11" s="29" t="s">
        <v>825</v>
      </c>
      <c r="G11" s="29" t="s">
        <v>826</v>
      </c>
    </row>
    <row r="12" spans="1:7" x14ac:dyDescent="0.2">
      <c r="B12" s="29">
        <v>3301</v>
      </c>
      <c r="C12" s="29">
        <v>3</v>
      </c>
      <c r="D12" s="29">
        <v>1</v>
      </c>
      <c r="E12" s="34" t="s">
        <v>827</v>
      </c>
      <c r="F12" s="29" t="s">
        <v>828</v>
      </c>
      <c r="G12" s="29" t="s">
        <v>829</v>
      </c>
    </row>
    <row r="13" spans="1:7" x14ac:dyDescent="0.2">
      <c r="B13" s="29">
        <v>3302</v>
      </c>
      <c r="C13" s="29">
        <v>3</v>
      </c>
      <c r="D13" s="29">
        <v>2</v>
      </c>
      <c r="E13" s="34" t="s">
        <v>830</v>
      </c>
      <c r="F13" s="29" t="s">
        <v>831</v>
      </c>
      <c r="G13" s="29" t="s">
        <v>832</v>
      </c>
    </row>
    <row r="14" spans="1:7" x14ac:dyDescent="0.2">
      <c r="B14" s="29">
        <v>3303</v>
      </c>
      <c r="C14" s="29">
        <v>3</v>
      </c>
      <c r="D14" s="29">
        <v>3</v>
      </c>
      <c r="E14" s="34" t="s">
        <v>833</v>
      </c>
      <c r="F14" s="29" t="s">
        <v>834</v>
      </c>
      <c r="G14" s="29" t="s">
        <v>835</v>
      </c>
    </row>
  </sheetData>
  <phoneticPr fontId="12" type="noConversion"/>
  <conditionalFormatting sqref="C1">
    <cfRule type="duplicateValues" dxfId="2" priority="1"/>
  </conditionalFormatting>
  <pageMargins left="0.75" right="0.75" top="1" bottom="1" header="0.5" footer="0.5"/>
  <pageSetup paperSize="9" orientation="portrait"/>
  <legacy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C18"/>
  <sheetViews>
    <sheetView workbookViewId="0">
      <selection activeCell="F53" sqref="F53"/>
    </sheetView>
  </sheetViews>
  <sheetFormatPr defaultColWidth="9" defaultRowHeight="14.25" x14ac:dyDescent="0.2"/>
  <cols>
    <col min="1" max="1" width="9" style="1"/>
    <col min="2" max="2" width="13.875" style="1" customWidth="1"/>
    <col min="3" max="3" width="23" style="1" customWidth="1"/>
    <col min="4" max="16384" width="9" style="1"/>
  </cols>
  <sheetData>
    <row r="1" spans="1:3" x14ac:dyDescent="0.2">
      <c r="A1" s="2" t="s">
        <v>0</v>
      </c>
      <c r="B1" s="3" t="s">
        <v>1</v>
      </c>
      <c r="C1" s="3" t="s">
        <v>66</v>
      </c>
    </row>
    <row r="2" spans="1:3" x14ac:dyDescent="0.2">
      <c r="A2" s="2" t="s">
        <v>0</v>
      </c>
      <c r="B2" s="2"/>
      <c r="C2" s="2"/>
    </row>
    <row r="3" spans="1:3" x14ac:dyDescent="0.2">
      <c r="A3" s="5" t="s">
        <v>6</v>
      </c>
      <c r="B3" s="3" t="s">
        <v>7</v>
      </c>
      <c r="C3" s="3" t="s">
        <v>8</v>
      </c>
    </row>
    <row r="4" spans="1:3" x14ac:dyDescent="0.2">
      <c r="A4" s="5" t="s">
        <v>9</v>
      </c>
      <c r="B4" s="5"/>
      <c r="C4" s="5"/>
    </row>
    <row r="5" spans="1:3" x14ac:dyDescent="0.2">
      <c r="A5" s="2" t="s">
        <v>10</v>
      </c>
      <c r="B5" s="1" t="s">
        <v>836</v>
      </c>
      <c r="C5" s="1" t="s">
        <v>837</v>
      </c>
    </row>
    <row r="6" spans="1:3" x14ac:dyDescent="0.2">
      <c r="B6" s="11">
        <v>1001</v>
      </c>
      <c r="C6" s="1" t="s">
        <v>838</v>
      </c>
    </row>
    <row r="7" spans="1:3" x14ac:dyDescent="0.2">
      <c r="B7" s="11">
        <v>1002</v>
      </c>
      <c r="C7" s="1" t="s">
        <v>839</v>
      </c>
    </row>
    <row r="8" spans="1:3" x14ac:dyDescent="0.2">
      <c r="B8" s="11">
        <v>1003</v>
      </c>
      <c r="C8" s="1" t="s">
        <v>840</v>
      </c>
    </row>
    <row r="9" spans="1:3" x14ac:dyDescent="0.2">
      <c r="B9" s="11">
        <v>1004</v>
      </c>
      <c r="C9" s="1" t="s">
        <v>841</v>
      </c>
    </row>
    <row r="10" spans="1:3" x14ac:dyDescent="0.2">
      <c r="B10" s="11"/>
    </row>
    <row r="11" spans="1:3" x14ac:dyDescent="0.2">
      <c r="B11" s="11"/>
    </row>
    <row r="12" spans="1:3" x14ac:dyDescent="0.2">
      <c r="B12" s="11"/>
    </row>
    <row r="13" spans="1:3" x14ac:dyDescent="0.2">
      <c r="B13" s="11"/>
    </row>
    <row r="14" spans="1:3" x14ac:dyDescent="0.2">
      <c r="B14" s="11"/>
    </row>
    <row r="15" spans="1:3" x14ac:dyDescent="0.2">
      <c r="B15" s="11"/>
    </row>
    <row r="16" spans="1:3" x14ac:dyDescent="0.2">
      <c r="B16" s="11"/>
    </row>
    <row r="17" spans="2:2" x14ac:dyDescent="0.2">
      <c r="B17" s="11"/>
    </row>
    <row r="18" spans="2:2" x14ac:dyDescent="0.2">
      <c r="B18" s="11"/>
    </row>
  </sheetData>
  <phoneticPr fontId="12" type="noConversion"/>
  <pageMargins left="0.75" right="0.75" top="1" bottom="1" header="0.5" footer="0.5"/>
  <pageSetup paperSize="9" orientation="portrait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F6"/>
  <sheetViews>
    <sheetView workbookViewId="0">
      <selection activeCell="D18" sqref="D18"/>
    </sheetView>
  </sheetViews>
  <sheetFormatPr defaultColWidth="9" defaultRowHeight="14.25" x14ac:dyDescent="0.2"/>
  <cols>
    <col min="1" max="2" width="9" style="1"/>
    <col min="3" max="3" width="9.625" style="1" customWidth="1"/>
    <col min="4" max="4" width="53" style="1" customWidth="1"/>
    <col min="5" max="5" width="62.625" style="23" customWidth="1"/>
    <col min="6" max="16384" width="9" style="1"/>
  </cols>
  <sheetData>
    <row r="1" spans="1:6" x14ac:dyDescent="0.2">
      <c r="A1" s="2" t="s">
        <v>0</v>
      </c>
      <c r="B1" s="3" t="s">
        <v>1</v>
      </c>
      <c r="C1" s="3" t="s">
        <v>66</v>
      </c>
      <c r="D1" s="3" t="s">
        <v>794</v>
      </c>
      <c r="E1" s="24" t="s">
        <v>639</v>
      </c>
      <c r="F1" s="3" t="s">
        <v>127</v>
      </c>
    </row>
    <row r="2" spans="1:6" x14ac:dyDescent="0.2">
      <c r="A2" s="2" t="s">
        <v>0</v>
      </c>
      <c r="B2" s="2"/>
      <c r="C2" s="2"/>
      <c r="D2" s="2"/>
      <c r="E2" s="25"/>
      <c r="F2" s="2"/>
    </row>
    <row r="3" spans="1:6" x14ac:dyDescent="0.2">
      <c r="A3" s="5" t="s">
        <v>6</v>
      </c>
      <c r="B3" s="3" t="s">
        <v>7</v>
      </c>
      <c r="C3" s="3" t="s">
        <v>8</v>
      </c>
      <c r="D3" s="4" t="s">
        <v>225</v>
      </c>
      <c r="E3" s="26" t="s">
        <v>225</v>
      </c>
      <c r="F3" s="3" t="s">
        <v>7</v>
      </c>
    </row>
    <row r="4" spans="1:6" x14ac:dyDescent="0.2">
      <c r="A4" s="5" t="s">
        <v>9</v>
      </c>
      <c r="B4" s="5"/>
      <c r="C4" s="5"/>
      <c r="D4" s="5"/>
      <c r="E4" s="27"/>
      <c r="F4" s="5"/>
    </row>
    <row r="5" spans="1:6" x14ac:dyDescent="0.2">
      <c r="A5" s="2" t="s">
        <v>10</v>
      </c>
      <c r="B5" s="1" t="s">
        <v>48</v>
      </c>
      <c r="C5" s="1" t="s">
        <v>640</v>
      </c>
      <c r="D5" s="1" t="s">
        <v>842</v>
      </c>
      <c r="E5" s="23" t="s">
        <v>843</v>
      </c>
      <c r="F5" s="1" t="s">
        <v>448</v>
      </c>
    </row>
    <row r="6" spans="1:6" x14ac:dyDescent="0.2">
      <c r="B6" s="1">
        <v>777</v>
      </c>
      <c r="C6" s="1" t="s">
        <v>708</v>
      </c>
      <c r="D6" s="19" t="s">
        <v>844</v>
      </c>
      <c r="E6" s="28" t="s">
        <v>845</v>
      </c>
      <c r="F6" s="1">
        <v>30</v>
      </c>
    </row>
  </sheetData>
  <phoneticPr fontId="12" type="noConversion"/>
  <pageMargins left="0.75" right="0.75" top="1" bottom="1" header="0.5" footer="0.5"/>
  <pageSetup paperSize="9" orientation="portrait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C26"/>
  <sheetViews>
    <sheetView workbookViewId="0">
      <selection activeCell="C35" sqref="C35"/>
    </sheetView>
  </sheetViews>
  <sheetFormatPr defaultColWidth="9" defaultRowHeight="14.25" x14ac:dyDescent="0.2"/>
  <cols>
    <col min="1" max="2" width="9" style="1"/>
    <col min="3" max="3" width="49.375" style="1" customWidth="1"/>
    <col min="4" max="16384" width="9" style="1"/>
  </cols>
  <sheetData>
    <row r="1" spans="1:3" x14ac:dyDescent="0.2">
      <c r="A1" s="2" t="s">
        <v>0</v>
      </c>
      <c r="B1" s="3" t="s">
        <v>1</v>
      </c>
      <c r="C1" s="3" t="s">
        <v>846</v>
      </c>
    </row>
    <row r="2" spans="1:3" x14ac:dyDescent="0.2">
      <c r="A2" s="2" t="s">
        <v>0</v>
      </c>
      <c r="B2" s="2"/>
      <c r="C2" s="2"/>
    </row>
    <row r="3" spans="1:3" x14ac:dyDescent="0.2">
      <c r="A3" s="5" t="s">
        <v>6</v>
      </c>
      <c r="B3" s="3" t="s">
        <v>7</v>
      </c>
      <c r="C3" s="3" t="s">
        <v>8</v>
      </c>
    </row>
    <row r="4" spans="1:3" x14ac:dyDescent="0.2">
      <c r="A4" s="5" t="s">
        <v>9</v>
      </c>
      <c r="B4" s="5"/>
      <c r="C4" s="5"/>
    </row>
    <row r="5" spans="1:3" x14ac:dyDescent="0.2">
      <c r="A5" s="2" t="s">
        <v>10</v>
      </c>
      <c r="B5" s="1" t="s">
        <v>48</v>
      </c>
      <c r="C5" s="1" t="s">
        <v>847</v>
      </c>
    </row>
    <row r="6" spans="1:3" x14ac:dyDescent="0.2">
      <c r="B6" s="1">
        <v>100</v>
      </c>
      <c r="C6" s="1" t="s">
        <v>848</v>
      </c>
    </row>
    <row r="7" spans="1:3" x14ac:dyDescent="0.2">
      <c r="B7" s="1">
        <v>200</v>
      </c>
      <c r="C7" s="1" t="s">
        <v>849</v>
      </c>
    </row>
    <row r="8" spans="1:3" x14ac:dyDescent="0.2">
      <c r="B8" s="1">
        <v>201</v>
      </c>
      <c r="C8" s="1" t="s">
        <v>850</v>
      </c>
    </row>
    <row r="9" spans="1:3" x14ac:dyDescent="0.2">
      <c r="B9" s="1">
        <v>202</v>
      </c>
      <c r="C9" s="1" t="s">
        <v>851</v>
      </c>
    </row>
    <row r="10" spans="1:3" x14ac:dyDescent="0.2">
      <c r="B10" s="1">
        <v>203</v>
      </c>
      <c r="C10" s="1" t="s">
        <v>852</v>
      </c>
    </row>
    <row r="11" spans="1:3" x14ac:dyDescent="0.2">
      <c r="B11" s="1">
        <v>204</v>
      </c>
      <c r="C11" s="1" t="s">
        <v>853</v>
      </c>
    </row>
    <row r="12" spans="1:3" x14ac:dyDescent="0.2">
      <c r="B12" s="1">
        <v>300</v>
      </c>
      <c r="C12" s="1" t="s">
        <v>854</v>
      </c>
    </row>
    <row r="13" spans="1:3" x14ac:dyDescent="0.2">
      <c r="B13" s="1">
        <v>301</v>
      </c>
      <c r="C13" s="1" t="s">
        <v>855</v>
      </c>
    </row>
    <row r="14" spans="1:3" x14ac:dyDescent="0.2">
      <c r="B14" s="1">
        <v>302</v>
      </c>
      <c r="C14" s="1" t="s">
        <v>856</v>
      </c>
    </row>
    <row r="15" spans="1:3" x14ac:dyDescent="0.2">
      <c r="B15" s="1">
        <v>303</v>
      </c>
      <c r="C15" s="1" t="s">
        <v>857</v>
      </c>
    </row>
    <row r="16" spans="1:3" x14ac:dyDescent="0.2">
      <c r="B16" s="1">
        <v>304</v>
      </c>
      <c r="C16" s="1" t="s">
        <v>858</v>
      </c>
    </row>
    <row r="17" spans="2:3" x14ac:dyDescent="0.2">
      <c r="B17" s="1">
        <v>305</v>
      </c>
      <c r="C17" s="1" t="s">
        <v>859</v>
      </c>
    </row>
    <row r="18" spans="2:3" x14ac:dyDescent="0.2">
      <c r="B18" s="1">
        <v>306</v>
      </c>
      <c r="C18" s="1" t="s">
        <v>860</v>
      </c>
    </row>
    <row r="19" spans="2:3" x14ac:dyDescent="0.2">
      <c r="B19" s="1">
        <v>307</v>
      </c>
      <c r="C19" s="1" t="s">
        <v>861</v>
      </c>
    </row>
    <row r="20" spans="2:3" x14ac:dyDescent="0.2">
      <c r="B20" s="1">
        <v>308</v>
      </c>
      <c r="C20" s="1" t="s">
        <v>862</v>
      </c>
    </row>
    <row r="21" spans="2:3" x14ac:dyDescent="0.2">
      <c r="B21" s="1">
        <v>309</v>
      </c>
      <c r="C21" s="1" t="s">
        <v>863</v>
      </c>
    </row>
    <row r="22" spans="2:3" x14ac:dyDescent="0.2">
      <c r="B22" s="1">
        <v>310</v>
      </c>
      <c r="C22" s="1" t="s">
        <v>864</v>
      </c>
    </row>
    <row r="23" spans="2:3" x14ac:dyDescent="0.2">
      <c r="B23" s="1">
        <v>400</v>
      </c>
      <c r="C23" s="1" t="s">
        <v>865</v>
      </c>
    </row>
    <row r="24" spans="2:3" x14ac:dyDescent="0.2">
      <c r="B24" s="1">
        <v>401</v>
      </c>
      <c r="C24" s="1" t="s">
        <v>866</v>
      </c>
    </row>
    <row r="25" spans="2:3" x14ac:dyDescent="0.2">
      <c r="B25" s="1">
        <v>402</v>
      </c>
      <c r="C25" s="1" t="s">
        <v>867</v>
      </c>
    </row>
    <row r="26" spans="2:3" x14ac:dyDescent="0.2">
      <c r="B26" s="1">
        <v>500</v>
      </c>
      <c r="C26" s="1" t="s">
        <v>868</v>
      </c>
    </row>
  </sheetData>
  <phoneticPr fontId="12" type="noConversion"/>
  <pageMargins left="0.75" right="0.75" top="1" bottom="1" header="0.5" footer="0.5"/>
  <pageSetup paperSize="9" orientation="portrait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I9"/>
  <sheetViews>
    <sheetView workbookViewId="0">
      <selection activeCell="I21" sqref="I21"/>
    </sheetView>
  </sheetViews>
  <sheetFormatPr defaultColWidth="9" defaultRowHeight="14.25" x14ac:dyDescent="0.2"/>
  <cols>
    <col min="1" max="2" width="9" style="1"/>
    <col min="3" max="3" width="17" style="1" customWidth="1"/>
    <col min="4" max="4" width="17.25" style="1" customWidth="1"/>
    <col min="5" max="5" width="12.25" style="1" customWidth="1"/>
    <col min="6" max="6" width="14.875" style="1" customWidth="1"/>
    <col min="7" max="7" width="16" style="1" customWidth="1"/>
    <col min="8" max="8" width="15.75" style="1" customWidth="1"/>
    <col min="9" max="9" width="12.75" style="1" customWidth="1"/>
    <col min="10" max="16384" width="9" style="1"/>
  </cols>
  <sheetData>
    <row r="1" spans="1:9" x14ac:dyDescent="0.2">
      <c r="A1" s="2" t="s">
        <v>0</v>
      </c>
      <c r="B1" s="3" t="s">
        <v>1</v>
      </c>
      <c r="C1" s="3" t="s">
        <v>869</v>
      </c>
      <c r="D1" s="3" t="s">
        <v>870</v>
      </c>
      <c r="E1" s="3" t="s">
        <v>871</v>
      </c>
      <c r="F1" s="3" t="s">
        <v>872</v>
      </c>
      <c r="G1" s="3" t="s">
        <v>755</v>
      </c>
      <c r="H1" s="3" t="s">
        <v>873</v>
      </c>
      <c r="I1" s="3" t="s">
        <v>874</v>
      </c>
    </row>
    <row r="2" spans="1:9" x14ac:dyDescent="0.2">
      <c r="A2" s="2" t="s">
        <v>0</v>
      </c>
      <c r="B2" s="2"/>
      <c r="C2" s="2"/>
      <c r="D2" s="2"/>
      <c r="E2" s="2"/>
      <c r="F2" s="2"/>
      <c r="G2" s="2"/>
      <c r="H2" s="2"/>
      <c r="I2" s="2"/>
    </row>
    <row r="3" spans="1:9" x14ac:dyDescent="0.2">
      <c r="A3" s="5" t="s">
        <v>6</v>
      </c>
      <c r="B3" s="3" t="s">
        <v>7</v>
      </c>
      <c r="C3" s="3" t="s">
        <v>7</v>
      </c>
      <c r="D3" s="3" t="s">
        <v>7</v>
      </c>
      <c r="E3" s="3" t="s">
        <v>7</v>
      </c>
      <c r="F3" s="3" t="s">
        <v>7</v>
      </c>
      <c r="G3" s="3" t="s">
        <v>83</v>
      </c>
      <c r="H3" s="3" t="s">
        <v>7</v>
      </c>
      <c r="I3" s="3" t="s">
        <v>7</v>
      </c>
    </row>
    <row r="4" spans="1:9" x14ac:dyDescent="0.2">
      <c r="A4" s="5" t="s">
        <v>9</v>
      </c>
      <c r="B4" s="5"/>
      <c r="C4" s="5"/>
      <c r="D4" s="5"/>
      <c r="E4" s="5"/>
      <c r="F4" s="5"/>
      <c r="G4" s="5"/>
      <c r="H4" s="5"/>
      <c r="I4" s="5"/>
    </row>
    <row r="5" spans="1:9" x14ac:dyDescent="0.2">
      <c r="A5" s="2" t="s">
        <v>10</v>
      </c>
      <c r="B5" s="1" t="s">
        <v>875</v>
      </c>
      <c r="C5" s="1" t="s">
        <v>876</v>
      </c>
      <c r="D5" s="1" t="s">
        <v>877</v>
      </c>
      <c r="E5" s="1" t="s">
        <v>878</v>
      </c>
      <c r="F5" s="1" t="s">
        <v>879</v>
      </c>
      <c r="G5" s="1" t="s">
        <v>769</v>
      </c>
      <c r="H5" s="1" t="s">
        <v>880</v>
      </c>
      <c r="I5" s="1" t="s">
        <v>881</v>
      </c>
    </row>
    <row r="6" spans="1:9" x14ac:dyDescent="0.2">
      <c r="B6" s="1">
        <v>101</v>
      </c>
      <c r="C6" s="1">
        <v>7</v>
      </c>
      <c r="D6" s="1">
        <v>30</v>
      </c>
      <c r="E6" s="1">
        <v>5</v>
      </c>
      <c r="F6" s="1">
        <v>1500</v>
      </c>
      <c r="G6" s="1" t="s">
        <v>882</v>
      </c>
      <c r="H6" s="1">
        <v>1</v>
      </c>
      <c r="I6" s="1">
        <v>80</v>
      </c>
    </row>
    <row r="7" spans="1:9" x14ac:dyDescent="0.2">
      <c r="B7" s="1">
        <v>102</v>
      </c>
      <c r="C7" s="1">
        <v>31</v>
      </c>
      <c r="D7" s="1">
        <v>200</v>
      </c>
      <c r="E7" s="1">
        <v>20</v>
      </c>
      <c r="F7" s="1">
        <v>1500</v>
      </c>
      <c r="G7" s="1" t="s">
        <v>882</v>
      </c>
      <c r="H7" s="1">
        <v>2</v>
      </c>
      <c r="I7" s="1">
        <v>80</v>
      </c>
    </row>
    <row r="8" spans="1:9" x14ac:dyDescent="0.2">
      <c r="B8" s="1">
        <v>103</v>
      </c>
      <c r="C8" s="1">
        <v>200</v>
      </c>
      <c r="D8" s="1">
        <v>500</v>
      </c>
      <c r="E8" s="1">
        <v>30</v>
      </c>
      <c r="F8" s="1">
        <v>1500</v>
      </c>
      <c r="G8" s="1" t="s">
        <v>882</v>
      </c>
      <c r="H8" s="1">
        <v>3</v>
      </c>
      <c r="I8" s="1">
        <v>80</v>
      </c>
    </row>
    <row r="9" spans="1:9" x14ac:dyDescent="0.2">
      <c r="B9" s="1">
        <v>104</v>
      </c>
      <c r="C9" s="1">
        <v>501</v>
      </c>
      <c r="D9" s="1">
        <v>1000</v>
      </c>
      <c r="E9" s="1">
        <v>50</v>
      </c>
      <c r="F9" s="1">
        <v>1500</v>
      </c>
      <c r="G9" s="1" t="s">
        <v>882</v>
      </c>
      <c r="H9" s="1">
        <v>4</v>
      </c>
      <c r="I9" s="1">
        <v>80</v>
      </c>
    </row>
  </sheetData>
  <phoneticPr fontId="12" type="noConversion"/>
  <pageMargins left="0.75" right="0.75" top="1" bottom="1" header="0.5" footer="0.5"/>
  <pageSetup paperSize="9" orientation="portrait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G33"/>
  <sheetViews>
    <sheetView workbookViewId="0">
      <selection activeCell="K33" sqref="K33"/>
    </sheetView>
  </sheetViews>
  <sheetFormatPr defaultColWidth="9" defaultRowHeight="14.25" x14ac:dyDescent="0.2"/>
  <cols>
    <col min="1" max="3" width="9" style="1"/>
    <col min="4" max="4" width="17.75" style="1" customWidth="1"/>
    <col min="5" max="5" width="9" style="1"/>
    <col min="6" max="6" width="13.625" style="1" customWidth="1"/>
    <col min="7" max="16384" width="9" style="1"/>
  </cols>
  <sheetData>
    <row r="1" spans="1:7" x14ac:dyDescent="0.2">
      <c r="A1" s="2" t="s">
        <v>0</v>
      </c>
      <c r="B1" s="3" t="s">
        <v>1</v>
      </c>
      <c r="C1" s="3" t="s">
        <v>883</v>
      </c>
      <c r="D1" s="3" t="s">
        <v>33</v>
      </c>
      <c r="E1" s="1" t="s">
        <v>884</v>
      </c>
      <c r="F1" s="1" t="s">
        <v>755</v>
      </c>
      <c r="G1" s="1" t="s">
        <v>885</v>
      </c>
    </row>
    <row r="2" spans="1:7" x14ac:dyDescent="0.2">
      <c r="A2" s="2" t="s">
        <v>0</v>
      </c>
      <c r="B2" s="2"/>
      <c r="C2" s="2"/>
      <c r="D2" s="2"/>
    </row>
    <row r="3" spans="1:7" x14ac:dyDescent="0.2">
      <c r="A3" s="5" t="s">
        <v>6</v>
      </c>
      <c r="B3" s="3" t="s">
        <v>7</v>
      </c>
      <c r="C3" s="3" t="s">
        <v>7</v>
      </c>
      <c r="D3" s="3" t="s">
        <v>7</v>
      </c>
      <c r="E3" s="1" t="s">
        <v>7</v>
      </c>
      <c r="F3" s="1" t="s">
        <v>83</v>
      </c>
      <c r="G3" s="1" t="s">
        <v>83</v>
      </c>
    </row>
    <row r="4" spans="1:7" x14ac:dyDescent="0.2">
      <c r="A4" s="5" t="s">
        <v>9</v>
      </c>
      <c r="B4" s="5"/>
      <c r="C4" s="5"/>
      <c r="D4" s="5"/>
    </row>
    <row r="5" spans="1:7" x14ac:dyDescent="0.2">
      <c r="A5" s="2" t="s">
        <v>10</v>
      </c>
      <c r="B5" s="1" t="s">
        <v>886</v>
      </c>
      <c r="C5" s="1" t="s">
        <v>887</v>
      </c>
      <c r="D5" s="1" t="s">
        <v>888</v>
      </c>
      <c r="E5" s="1" t="s">
        <v>889</v>
      </c>
      <c r="F5" s="1" t="s">
        <v>769</v>
      </c>
      <c r="G5" s="1" t="s">
        <v>768</v>
      </c>
    </row>
    <row r="6" spans="1:7" x14ac:dyDescent="0.2">
      <c r="B6" s="1">
        <v>1001</v>
      </c>
      <c r="C6" s="1">
        <v>700</v>
      </c>
      <c r="D6" s="1">
        <v>10</v>
      </c>
      <c r="E6" s="1">
        <v>1</v>
      </c>
      <c r="F6" s="1" t="s">
        <v>890</v>
      </c>
      <c r="G6" s="1" t="s">
        <v>891</v>
      </c>
    </row>
    <row r="7" spans="1:7" x14ac:dyDescent="0.2">
      <c r="B7" s="1">
        <v>1002</v>
      </c>
      <c r="C7" s="1">
        <v>800</v>
      </c>
      <c r="D7" s="1">
        <v>80</v>
      </c>
      <c r="E7" s="1">
        <v>1</v>
      </c>
      <c r="F7" s="1" t="s">
        <v>882</v>
      </c>
      <c r="G7" s="1" t="s">
        <v>892</v>
      </c>
    </row>
    <row r="8" spans="1:7" x14ac:dyDescent="0.2">
      <c r="B8" s="1">
        <v>1003</v>
      </c>
      <c r="C8" s="1">
        <v>900</v>
      </c>
      <c r="D8" s="1">
        <v>90</v>
      </c>
      <c r="E8" s="1">
        <v>1</v>
      </c>
      <c r="F8" s="1" t="s">
        <v>882</v>
      </c>
      <c r="G8" s="1" t="s">
        <v>892</v>
      </c>
    </row>
    <row r="9" spans="1:7" x14ac:dyDescent="0.2">
      <c r="B9" s="1">
        <v>1004</v>
      </c>
      <c r="C9" s="1">
        <v>1000</v>
      </c>
      <c r="D9" s="1">
        <v>640</v>
      </c>
      <c r="E9" s="1">
        <v>1</v>
      </c>
      <c r="F9" s="1" t="s">
        <v>882</v>
      </c>
      <c r="G9" s="1" t="s">
        <v>892</v>
      </c>
    </row>
    <row r="10" spans="1:7" x14ac:dyDescent="0.2">
      <c r="B10" s="1">
        <v>1005</v>
      </c>
      <c r="C10" s="1">
        <v>1100</v>
      </c>
      <c r="D10" s="1">
        <v>90</v>
      </c>
      <c r="E10" s="1">
        <v>1</v>
      </c>
      <c r="F10" s="1" t="s">
        <v>882</v>
      </c>
      <c r="G10" s="1" t="s">
        <v>892</v>
      </c>
    </row>
    <row r="11" spans="1:7" x14ac:dyDescent="0.2">
      <c r="B11" s="1">
        <v>1006</v>
      </c>
      <c r="C11" s="1">
        <v>1200</v>
      </c>
      <c r="D11" s="1">
        <v>80</v>
      </c>
      <c r="E11" s="1">
        <v>1</v>
      </c>
      <c r="F11" s="1" t="s">
        <v>882</v>
      </c>
      <c r="G11" s="1" t="s">
        <v>892</v>
      </c>
    </row>
    <row r="12" spans="1:7" x14ac:dyDescent="0.2">
      <c r="B12" s="1">
        <v>1007</v>
      </c>
      <c r="C12" s="1">
        <v>1300</v>
      </c>
      <c r="D12" s="1">
        <v>10</v>
      </c>
      <c r="E12" s="1">
        <v>1</v>
      </c>
      <c r="F12" s="1" t="s">
        <v>893</v>
      </c>
      <c r="G12" s="1" t="s">
        <v>894</v>
      </c>
    </row>
    <row r="13" spans="1:7" x14ac:dyDescent="0.2">
      <c r="B13" s="1">
        <v>2001</v>
      </c>
      <c r="C13" s="1">
        <v>700</v>
      </c>
      <c r="D13" s="1">
        <v>10</v>
      </c>
      <c r="E13" s="1">
        <v>2</v>
      </c>
      <c r="F13" s="1" t="s">
        <v>895</v>
      </c>
      <c r="G13" s="1" t="s">
        <v>896</v>
      </c>
    </row>
    <row r="14" spans="1:7" x14ac:dyDescent="0.2">
      <c r="B14" s="1">
        <v>2002</v>
      </c>
      <c r="C14" s="1">
        <v>800</v>
      </c>
      <c r="D14" s="1">
        <v>80</v>
      </c>
      <c r="E14" s="1">
        <v>2</v>
      </c>
      <c r="F14" s="1" t="s">
        <v>897</v>
      </c>
      <c r="G14" s="1" t="s">
        <v>898</v>
      </c>
    </row>
    <row r="15" spans="1:7" x14ac:dyDescent="0.2">
      <c r="B15" s="1">
        <v>2003</v>
      </c>
      <c r="C15" s="1">
        <v>900</v>
      </c>
      <c r="D15" s="1">
        <v>90</v>
      </c>
      <c r="E15" s="1">
        <v>2</v>
      </c>
      <c r="F15" s="1" t="s">
        <v>899</v>
      </c>
      <c r="G15" s="1" t="s">
        <v>900</v>
      </c>
    </row>
    <row r="16" spans="1:7" x14ac:dyDescent="0.2">
      <c r="B16" s="1">
        <v>2004</v>
      </c>
      <c r="C16" s="1">
        <v>1000</v>
      </c>
      <c r="D16" s="1">
        <v>640</v>
      </c>
      <c r="E16" s="1">
        <v>2</v>
      </c>
      <c r="F16" s="1" t="s">
        <v>901</v>
      </c>
      <c r="G16" s="1" t="s">
        <v>902</v>
      </c>
    </row>
    <row r="17" spans="2:7" x14ac:dyDescent="0.2">
      <c r="B17" s="1">
        <v>2005</v>
      </c>
      <c r="C17" s="1">
        <v>1100</v>
      </c>
      <c r="D17" s="1">
        <v>90</v>
      </c>
      <c r="E17" s="1">
        <v>2</v>
      </c>
      <c r="F17" s="1" t="s">
        <v>903</v>
      </c>
      <c r="G17" s="1" t="s">
        <v>904</v>
      </c>
    </row>
    <row r="18" spans="2:7" x14ac:dyDescent="0.2">
      <c r="B18" s="1">
        <v>2006</v>
      </c>
      <c r="C18" s="1">
        <v>1200</v>
      </c>
      <c r="D18" s="1">
        <v>80</v>
      </c>
      <c r="E18" s="1">
        <v>2</v>
      </c>
      <c r="F18" s="1" t="s">
        <v>905</v>
      </c>
      <c r="G18" s="1" t="s">
        <v>906</v>
      </c>
    </row>
    <row r="19" spans="2:7" x14ac:dyDescent="0.2">
      <c r="B19" s="1">
        <v>2007</v>
      </c>
      <c r="C19" s="1">
        <v>1300</v>
      </c>
      <c r="D19" s="1">
        <v>10</v>
      </c>
      <c r="E19" s="1">
        <v>2</v>
      </c>
      <c r="F19" s="1" t="s">
        <v>907</v>
      </c>
      <c r="G19" s="1" t="s">
        <v>908</v>
      </c>
    </row>
    <row r="20" spans="2:7" x14ac:dyDescent="0.2">
      <c r="B20" s="1">
        <v>3001</v>
      </c>
      <c r="C20" s="1">
        <v>700</v>
      </c>
      <c r="D20" s="1">
        <v>10</v>
      </c>
      <c r="E20" s="1">
        <v>3</v>
      </c>
      <c r="F20" s="1" t="s">
        <v>909</v>
      </c>
      <c r="G20" s="1" t="s">
        <v>910</v>
      </c>
    </row>
    <row r="21" spans="2:7" x14ac:dyDescent="0.2">
      <c r="B21" s="1">
        <v>3002</v>
      </c>
      <c r="C21" s="1">
        <v>800</v>
      </c>
      <c r="D21" s="1">
        <v>80</v>
      </c>
      <c r="E21" s="1">
        <v>3</v>
      </c>
      <c r="F21" s="1" t="s">
        <v>911</v>
      </c>
      <c r="G21" s="1" t="s">
        <v>912</v>
      </c>
    </row>
    <row r="22" spans="2:7" x14ac:dyDescent="0.2">
      <c r="B22" s="1">
        <v>3003</v>
      </c>
      <c r="C22" s="1">
        <v>900</v>
      </c>
      <c r="D22" s="1">
        <v>90</v>
      </c>
      <c r="E22" s="1">
        <v>3</v>
      </c>
      <c r="F22" s="1" t="s">
        <v>913</v>
      </c>
      <c r="G22" s="1" t="s">
        <v>914</v>
      </c>
    </row>
    <row r="23" spans="2:7" x14ac:dyDescent="0.2">
      <c r="B23" s="1">
        <v>3004</v>
      </c>
      <c r="C23" s="1">
        <v>1000</v>
      </c>
      <c r="D23" s="1">
        <v>640</v>
      </c>
      <c r="E23" s="1">
        <v>3</v>
      </c>
      <c r="F23" s="1" t="s">
        <v>915</v>
      </c>
      <c r="G23" s="1" t="s">
        <v>916</v>
      </c>
    </row>
    <row r="24" spans="2:7" x14ac:dyDescent="0.2">
      <c r="B24" s="1">
        <v>3005</v>
      </c>
      <c r="C24" s="1">
        <v>1100</v>
      </c>
      <c r="D24" s="1">
        <v>90</v>
      </c>
      <c r="E24" s="1">
        <v>3</v>
      </c>
      <c r="F24" s="1" t="s">
        <v>917</v>
      </c>
      <c r="G24" s="1" t="s">
        <v>918</v>
      </c>
    </row>
    <row r="25" spans="2:7" x14ac:dyDescent="0.2">
      <c r="B25" s="1">
        <v>3006</v>
      </c>
      <c r="C25" s="1">
        <v>1200</v>
      </c>
      <c r="D25" s="1">
        <v>80</v>
      </c>
      <c r="E25" s="1">
        <v>3</v>
      </c>
      <c r="F25" s="1" t="s">
        <v>919</v>
      </c>
      <c r="G25" s="1" t="s">
        <v>920</v>
      </c>
    </row>
    <row r="26" spans="2:7" x14ac:dyDescent="0.2">
      <c r="B26" s="1">
        <v>3007</v>
      </c>
      <c r="C26" s="1">
        <v>1300</v>
      </c>
      <c r="D26" s="1">
        <v>10</v>
      </c>
      <c r="E26" s="1">
        <v>3</v>
      </c>
      <c r="F26" s="1" t="s">
        <v>921</v>
      </c>
      <c r="G26" s="1" t="s">
        <v>922</v>
      </c>
    </row>
    <row r="27" spans="2:7" x14ac:dyDescent="0.2">
      <c r="B27" s="1">
        <v>4001</v>
      </c>
      <c r="C27" s="1">
        <v>700</v>
      </c>
      <c r="D27" s="1">
        <v>10</v>
      </c>
      <c r="E27" s="1">
        <v>4</v>
      </c>
      <c r="F27" s="1" t="s">
        <v>909</v>
      </c>
      <c r="G27" s="1" t="s">
        <v>910</v>
      </c>
    </row>
    <row r="28" spans="2:7" x14ac:dyDescent="0.2">
      <c r="B28" s="1">
        <v>4002</v>
      </c>
      <c r="C28" s="1">
        <v>800</v>
      </c>
      <c r="D28" s="1">
        <v>80</v>
      </c>
      <c r="E28" s="1">
        <v>4</v>
      </c>
      <c r="F28" s="1" t="s">
        <v>911</v>
      </c>
      <c r="G28" s="1" t="s">
        <v>912</v>
      </c>
    </row>
    <row r="29" spans="2:7" x14ac:dyDescent="0.2">
      <c r="B29" s="1">
        <v>4003</v>
      </c>
      <c r="C29" s="1">
        <v>900</v>
      </c>
      <c r="D29" s="1">
        <v>90</v>
      </c>
      <c r="E29" s="1">
        <v>4</v>
      </c>
      <c r="F29" s="1" t="s">
        <v>913</v>
      </c>
      <c r="G29" s="1" t="s">
        <v>914</v>
      </c>
    </row>
    <row r="30" spans="2:7" x14ac:dyDescent="0.2">
      <c r="B30" s="1">
        <v>4004</v>
      </c>
      <c r="C30" s="1">
        <v>1000</v>
      </c>
      <c r="D30" s="1">
        <v>640</v>
      </c>
      <c r="E30" s="1">
        <v>4</v>
      </c>
      <c r="F30" s="1" t="s">
        <v>915</v>
      </c>
      <c r="G30" s="1" t="s">
        <v>916</v>
      </c>
    </row>
    <row r="31" spans="2:7" x14ac:dyDescent="0.2">
      <c r="B31" s="1">
        <v>4005</v>
      </c>
      <c r="C31" s="1">
        <v>1100</v>
      </c>
      <c r="D31" s="1">
        <v>90</v>
      </c>
      <c r="E31" s="1">
        <v>4</v>
      </c>
      <c r="F31" s="1" t="s">
        <v>917</v>
      </c>
      <c r="G31" s="1" t="s">
        <v>918</v>
      </c>
    </row>
    <row r="32" spans="2:7" x14ac:dyDescent="0.2">
      <c r="B32" s="1">
        <v>4006</v>
      </c>
      <c r="C32" s="1">
        <v>1200</v>
      </c>
      <c r="D32" s="1">
        <v>80</v>
      </c>
      <c r="E32" s="1">
        <v>4</v>
      </c>
      <c r="F32" s="1" t="s">
        <v>919</v>
      </c>
      <c r="G32" s="1" t="s">
        <v>920</v>
      </c>
    </row>
    <row r="33" spans="2:7" x14ac:dyDescent="0.2">
      <c r="B33" s="1">
        <v>4007</v>
      </c>
      <c r="C33" s="1">
        <v>1300</v>
      </c>
      <c r="D33" s="1">
        <v>10</v>
      </c>
      <c r="E33" s="1">
        <v>4</v>
      </c>
      <c r="F33" s="1" t="s">
        <v>921</v>
      </c>
      <c r="G33" s="1" t="s">
        <v>922</v>
      </c>
    </row>
  </sheetData>
  <phoneticPr fontId="12" type="noConversion"/>
  <pageMargins left="0.75" right="0.75" top="1" bottom="1" header="0.5" footer="0.5"/>
  <pageSetup paperSize="9" orientation="portrait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H6"/>
  <sheetViews>
    <sheetView workbookViewId="0">
      <selection sqref="A1:F5"/>
    </sheetView>
  </sheetViews>
  <sheetFormatPr defaultColWidth="9" defaultRowHeight="14.25" x14ac:dyDescent="0.2"/>
  <cols>
    <col min="1" max="2" width="9" style="1"/>
    <col min="3" max="3" width="21.125" style="1" customWidth="1"/>
    <col min="4" max="4" width="24.375" style="1" customWidth="1"/>
    <col min="5" max="5" width="22" style="1" customWidth="1"/>
    <col min="6" max="6" width="20.5" style="1" customWidth="1"/>
    <col min="7" max="7" width="20.75" style="1" customWidth="1"/>
    <col min="8" max="8" width="16.5" style="1" customWidth="1"/>
    <col min="9" max="16384" width="9" style="1"/>
  </cols>
  <sheetData>
    <row r="1" spans="1:8" x14ac:dyDescent="0.2">
      <c r="A1" s="2" t="s">
        <v>0</v>
      </c>
      <c r="B1" s="3" t="s">
        <v>1</v>
      </c>
      <c r="C1" s="3" t="s">
        <v>923</v>
      </c>
      <c r="D1" s="3" t="s">
        <v>924</v>
      </c>
      <c r="E1" s="3" t="s">
        <v>925</v>
      </c>
      <c r="F1" s="3" t="s">
        <v>926</v>
      </c>
      <c r="G1" s="3" t="s">
        <v>927</v>
      </c>
      <c r="H1" s="3" t="s">
        <v>928</v>
      </c>
    </row>
    <row r="2" spans="1:8" x14ac:dyDescent="0.2">
      <c r="A2" s="2" t="s">
        <v>0</v>
      </c>
      <c r="B2" s="2"/>
      <c r="C2" s="2"/>
      <c r="D2" s="2"/>
      <c r="E2" s="2"/>
      <c r="F2" s="2"/>
      <c r="G2" s="2"/>
      <c r="H2" s="2"/>
    </row>
    <row r="3" spans="1:8" x14ac:dyDescent="0.2">
      <c r="A3" s="5" t="s">
        <v>6</v>
      </c>
      <c r="B3" s="3" t="s">
        <v>7</v>
      </c>
      <c r="C3" s="3" t="s">
        <v>7</v>
      </c>
      <c r="D3" s="3" t="s">
        <v>7</v>
      </c>
      <c r="E3" s="3" t="s">
        <v>7</v>
      </c>
      <c r="F3" s="3" t="s">
        <v>7</v>
      </c>
      <c r="G3" s="3" t="s">
        <v>7</v>
      </c>
      <c r="H3" s="3" t="s">
        <v>7</v>
      </c>
    </row>
    <row r="4" spans="1:8" x14ac:dyDescent="0.2">
      <c r="A4" s="5" t="s">
        <v>9</v>
      </c>
      <c r="B4" s="5"/>
      <c r="C4" s="5"/>
      <c r="D4" s="5"/>
      <c r="E4" s="5"/>
      <c r="F4" s="5"/>
      <c r="G4" s="5"/>
      <c r="H4" s="5"/>
    </row>
    <row r="5" spans="1:8" x14ac:dyDescent="0.2">
      <c r="A5" s="2" t="s">
        <v>10</v>
      </c>
      <c r="B5" s="1" t="s">
        <v>929</v>
      </c>
      <c r="C5" s="1" t="s">
        <v>930</v>
      </c>
      <c r="D5" s="1" t="s">
        <v>931</v>
      </c>
      <c r="E5" s="1" t="s">
        <v>932</v>
      </c>
      <c r="F5" s="1" t="s">
        <v>933</v>
      </c>
      <c r="G5" s="1" t="s">
        <v>934</v>
      </c>
      <c r="H5" s="1" t="s">
        <v>935</v>
      </c>
    </row>
    <row r="6" spans="1:8" x14ac:dyDescent="0.2">
      <c r="B6" s="1">
        <v>10000</v>
      </c>
      <c r="C6" s="1">
        <v>450000</v>
      </c>
      <c r="D6" s="1">
        <v>800000</v>
      </c>
      <c r="E6" s="1">
        <v>20000</v>
      </c>
      <c r="F6" s="1">
        <v>10000</v>
      </c>
      <c r="G6" s="1">
        <v>700</v>
      </c>
      <c r="H6" s="1">
        <v>2000000</v>
      </c>
    </row>
  </sheetData>
  <phoneticPr fontId="12" type="noConversion"/>
  <pageMargins left="0.75" right="0.75" top="1" bottom="1" header="0.5" footer="0.5"/>
  <pageSetup paperSize="9" orientation="portrait"/>
  <legacyDrawing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1:I16"/>
  <sheetViews>
    <sheetView topLeftCell="C1" workbookViewId="0">
      <selection activeCell="J19" sqref="J19"/>
    </sheetView>
  </sheetViews>
  <sheetFormatPr defaultColWidth="9" defaultRowHeight="14.25" x14ac:dyDescent="0.2"/>
  <cols>
    <col min="2" max="2" width="13.25" customWidth="1"/>
    <col min="3" max="3" width="18.75" customWidth="1"/>
    <col min="4" max="4" width="15.125" customWidth="1"/>
    <col min="5" max="5" width="31.25" customWidth="1"/>
    <col min="6" max="6" width="14.375" customWidth="1"/>
    <col min="7" max="7" width="18.5" customWidth="1"/>
    <col min="8" max="8" width="16.625" customWidth="1"/>
    <col min="9" max="9" width="18.5" customWidth="1"/>
  </cols>
  <sheetData>
    <row r="1" spans="1:9" x14ac:dyDescent="0.2">
      <c r="A1" s="2" t="s">
        <v>0</v>
      </c>
      <c r="B1" s="3" t="s">
        <v>1</v>
      </c>
      <c r="C1" s="3" t="s">
        <v>936</v>
      </c>
      <c r="D1" s="3" t="s">
        <v>937</v>
      </c>
      <c r="E1" s="3" t="s">
        <v>938</v>
      </c>
      <c r="F1" s="3" t="s">
        <v>939</v>
      </c>
      <c r="G1" s="3" t="s">
        <v>940</v>
      </c>
      <c r="H1" s="3" t="s">
        <v>941</v>
      </c>
      <c r="I1" s="3" t="s">
        <v>942</v>
      </c>
    </row>
    <row r="2" spans="1:9" x14ac:dyDescent="0.2">
      <c r="A2" s="2" t="s">
        <v>0</v>
      </c>
      <c r="B2" s="2"/>
      <c r="C2" s="2"/>
      <c r="D2" s="2"/>
      <c r="E2" s="2"/>
      <c r="F2" s="2"/>
      <c r="G2" s="2"/>
      <c r="H2" s="2"/>
      <c r="I2" s="2"/>
    </row>
    <row r="3" spans="1:9" x14ac:dyDescent="0.2">
      <c r="A3" s="5" t="s">
        <v>6</v>
      </c>
      <c r="B3" s="3" t="s">
        <v>7</v>
      </c>
      <c r="C3" s="3" t="s">
        <v>7</v>
      </c>
      <c r="D3" s="3" t="s">
        <v>7</v>
      </c>
      <c r="E3" s="3" t="s">
        <v>7</v>
      </c>
      <c r="F3" s="3" t="s">
        <v>83</v>
      </c>
      <c r="G3" s="3" t="s">
        <v>83</v>
      </c>
      <c r="H3" s="3" t="s">
        <v>83</v>
      </c>
      <c r="I3" s="3" t="s">
        <v>83</v>
      </c>
    </row>
    <row r="4" spans="1:9" x14ac:dyDescent="0.2">
      <c r="A4" s="5" t="s">
        <v>9</v>
      </c>
      <c r="B4" s="5"/>
      <c r="C4" s="5"/>
      <c r="D4" s="5"/>
      <c r="E4" s="5"/>
      <c r="F4" s="5"/>
      <c r="G4" s="5"/>
      <c r="H4" s="5"/>
      <c r="I4" s="5"/>
    </row>
    <row r="5" spans="1:9" x14ac:dyDescent="0.2">
      <c r="A5" s="2" t="s">
        <v>10</v>
      </c>
      <c r="B5" s="11" t="s">
        <v>943</v>
      </c>
      <c r="C5" s="11" t="s">
        <v>944</v>
      </c>
      <c r="D5" s="11" t="s">
        <v>945</v>
      </c>
      <c r="E5" s="11" t="s">
        <v>946</v>
      </c>
      <c r="F5" s="11" t="s">
        <v>947</v>
      </c>
      <c r="G5" s="11" t="s">
        <v>948</v>
      </c>
      <c r="H5" s="11" t="s">
        <v>949</v>
      </c>
      <c r="I5" s="11" t="s">
        <v>950</v>
      </c>
    </row>
    <row r="6" spans="1:9" x14ac:dyDescent="0.2">
      <c r="B6" s="11">
        <v>1</v>
      </c>
      <c r="C6" s="11">
        <v>0</v>
      </c>
      <c r="D6" s="11">
        <v>6</v>
      </c>
      <c r="E6" s="11">
        <v>0</v>
      </c>
      <c r="F6" s="11">
        <v>0</v>
      </c>
      <c r="G6" s="11">
        <v>50</v>
      </c>
      <c r="H6" s="11">
        <v>0</v>
      </c>
      <c r="I6" s="11">
        <v>0</v>
      </c>
    </row>
    <row r="7" spans="1:9" x14ac:dyDescent="0.2">
      <c r="B7" s="11">
        <v>2</v>
      </c>
      <c r="C7" s="11">
        <v>6</v>
      </c>
      <c r="D7" s="11">
        <f t="shared" ref="D7:D15" si="0">C8</f>
        <v>12</v>
      </c>
      <c r="E7" s="11">
        <v>1</v>
      </c>
      <c r="F7" s="11">
        <v>300</v>
      </c>
      <c r="G7" s="11">
        <v>80</v>
      </c>
      <c r="H7" s="11">
        <v>65</v>
      </c>
      <c r="I7" s="11">
        <v>150</v>
      </c>
    </row>
    <row r="8" spans="1:9" x14ac:dyDescent="0.2">
      <c r="B8" s="11">
        <v>3</v>
      </c>
      <c r="C8" s="11">
        <v>12</v>
      </c>
      <c r="D8" s="11">
        <f t="shared" si="0"/>
        <v>36</v>
      </c>
      <c r="E8" s="11">
        <v>1</v>
      </c>
      <c r="F8" s="11">
        <v>180</v>
      </c>
      <c r="G8" s="11">
        <v>80</v>
      </c>
      <c r="H8" s="11">
        <v>65</v>
      </c>
      <c r="I8" s="11">
        <v>150</v>
      </c>
    </row>
    <row r="9" spans="1:9" x14ac:dyDescent="0.2">
      <c r="B9" s="11">
        <v>4</v>
      </c>
      <c r="C9" s="11">
        <v>36</v>
      </c>
      <c r="D9" s="11">
        <f t="shared" si="0"/>
        <v>101</v>
      </c>
      <c r="E9" s="11">
        <v>1</v>
      </c>
      <c r="F9" s="11">
        <v>300</v>
      </c>
      <c r="G9" s="11">
        <v>80</v>
      </c>
      <c r="H9" s="11">
        <v>65</v>
      </c>
      <c r="I9" s="11">
        <v>150</v>
      </c>
    </row>
    <row r="10" spans="1:9" x14ac:dyDescent="0.2">
      <c r="B10" s="11">
        <v>5</v>
      </c>
      <c r="C10" s="11">
        <v>101</v>
      </c>
      <c r="D10" s="11">
        <f t="shared" si="0"/>
        <v>501</v>
      </c>
      <c r="E10" s="11">
        <v>1</v>
      </c>
      <c r="F10" s="11">
        <v>200</v>
      </c>
      <c r="G10" s="11">
        <v>80</v>
      </c>
      <c r="H10" s="11">
        <v>65</v>
      </c>
      <c r="I10" s="11">
        <v>150</v>
      </c>
    </row>
    <row r="11" spans="1:9" x14ac:dyDescent="0.2">
      <c r="B11" s="11">
        <v>6</v>
      </c>
      <c r="C11" s="11">
        <v>501</v>
      </c>
      <c r="D11" s="11">
        <f t="shared" si="0"/>
        <v>2001</v>
      </c>
      <c r="E11" s="11">
        <v>1</v>
      </c>
      <c r="F11" s="11">
        <v>180</v>
      </c>
      <c r="G11" s="11">
        <v>80</v>
      </c>
      <c r="H11" s="11">
        <v>65</v>
      </c>
      <c r="I11" s="11">
        <v>150</v>
      </c>
    </row>
    <row r="12" spans="1:9" x14ac:dyDescent="0.2">
      <c r="B12" s="11">
        <v>7</v>
      </c>
      <c r="C12" s="11">
        <v>2001</v>
      </c>
      <c r="D12" s="11">
        <f t="shared" si="0"/>
        <v>5001</v>
      </c>
      <c r="E12" s="11">
        <v>1</v>
      </c>
      <c r="F12" s="11">
        <v>150</v>
      </c>
      <c r="G12" s="11">
        <v>70</v>
      </c>
      <c r="H12" s="11">
        <v>65</v>
      </c>
      <c r="I12" s="11">
        <v>150</v>
      </c>
    </row>
    <row r="13" spans="1:9" x14ac:dyDescent="0.2">
      <c r="B13" s="11">
        <v>8</v>
      </c>
      <c r="C13" s="11">
        <v>5001</v>
      </c>
      <c r="D13" s="11">
        <f t="shared" si="0"/>
        <v>10001</v>
      </c>
      <c r="E13" s="11">
        <v>1</v>
      </c>
      <c r="F13" s="11">
        <v>150</v>
      </c>
      <c r="G13" s="11">
        <v>60</v>
      </c>
      <c r="H13" s="11">
        <v>65</v>
      </c>
      <c r="I13" s="11">
        <v>150</v>
      </c>
    </row>
    <row r="14" spans="1:9" x14ac:dyDescent="0.2">
      <c r="B14" s="11">
        <v>9</v>
      </c>
      <c r="C14" s="11">
        <v>10001</v>
      </c>
      <c r="D14" s="11">
        <f t="shared" si="0"/>
        <v>50001</v>
      </c>
      <c r="E14" s="11">
        <v>1</v>
      </c>
      <c r="F14" s="11">
        <v>150</v>
      </c>
      <c r="G14" s="11">
        <v>60</v>
      </c>
      <c r="H14" s="11">
        <v>65</v>
      </c>
      <c r="I14" s="11">
        <v>150</v>
      </c>
    </row>
    <row r="15" spans="1:9" x14ac:dyDescent="0.2">
      <c r="B15" s="11">
        <v>10</v>
      </c>
      <c r="C15" s="11">
        <v>50001</v>
      </c>
      <c r="D15" s="11">
        <f t="shared" si="0"/>
        <v>100001</v>
      </c>
      <c r="E15" s="11">
        <v>1</v>
      </c>
      <c r="F15" s="11">
        <v>110</v>
      </c>
      <c r="G15" s="11">
        <v>60</v>
      </c>
      <c r="H15" s="11">
        <v>65</v>
      </c>
      <c r="I15" s="11">
        <v>150</v>
      </c>
    </row>
    <row r="16" spans="1:9" x14ac:dyDescent="0.2">
      <c r="B16" s="11">
        <v>11</v>
      </c>
      <c r="C16" s="11">
        <v>100001</v>
      </c>
      <c r="D16" s="11">
        <v>10000000</v>
      </c>
      <c r="E16" s="11">
        <v>1</v>
      </c>
      <c r="F16" s="11">
        <v>110</v>
      </c>
      <c r="G16" s="11">
        <v>60</v>
      </c>
      <c r="H16" s="11">
        <v>65</v>
      </c>
      <c r="I16" s="11">
        <v>150</v>
      </c>
    </row>
  </sheetData>
  <phoneticPr fontId="12" type="noConversion"/>
  <pageMargins left="0.75" right="0.75" top="1" bottom="1" header="0.5" footer="0.5"/>
  <pageSetup paperSize="9" orientation="portrait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A1:I16"/>
  <sheetViews>
    <sheetView workbookViewId="0">
      <selection activeCell="D1" sqref="D1:D1048576"/>
    </sheetView>
  </sheetViews>
  <sheetFormatPr defaultColWidth="9" defaultRowHeight="14.25" x14ac:dyDescent="0.2"/>
  <cols>
    <col min="1" max="1" width="9" style="1"/>
    <col min="2" max="3" width="13.125" style="1" customWidth="1"/>
    <col min="4" max="4" width="42.75" style="1" customWidth="1"/>
    <col min="5" max="5" width="16" style="1" customWidth="1"/>
    <col min="6" max="6" width="14.5" style="1" customWidth="1"/>
    <col min="7" max="7" width="15.5" style="1" customWidth="1"/>
    <col min="10" max="16384" width="9" style="1"/>
  </cols>
  <sheetData>
    <row r="1" spans="1:7" x14ac:dyDescent="0.2">
      <c r="A1" s="2" t="s">
        <v>0</v>
      </c>
      <c r="B1" s="3" t="s">
        <v>1</v>
      </c>
      <c r="C1" s="3" t="s">
        <v>951</v>
      </c>
      <c r="D1" s="3" t="s">
        <v>3</v>
      </c>
      <c r="E1" s="3" t="s">
        <v>952</v>
      </c>
      <c r="F1" s="3"/>
      <c r="G1" s="3"/>
    </row>
    <row r="2" spans="1:7" x14ac:dyDescent="0.2">
      <c r="A2" s="2" t="s">
        <v>0</v>
      </c>
      <c r="B2" s="2"/>
      <c r="C2" s="2"/>
      <c r="D2" s="2"/>
      <c r="E2" s="2"/>
      <c r="F2" s="2"/>
      <c r="G2" s="2"/>
    </row>
    <row r="3" spans="1:7" x14ac:dyDescent="0.2">
      <c r="A3" s="5" t="s">
        <v>6</v>
      </c>
      <c r="B3" s="3" t="s">
        <v>7</v>
      </c>
      <c r="C3" s="3" t="s">
        <v>7</v>
      </c>
      <c r="D3" s="5" t="s">
        <v>225</v>
      </c>
      <c r="E3" s="3" t="s">
        <v>7</v>
      </c>
      <c r="F3" s="3"/>
      <c r="G3" s="3"/>
    </row>
    <row r="4" spans="1:7" x14ac:dyDescent="0.2">
      <c r="A4" s="5" t="s">
        <v>9</v>
      </c>
      <c r="B4" s="5"/>
      <c r="C4" s="5"/>
      <c r="D4" s="5"/>
      <c r="E4" s="5"/>
      <c r="F4" s="5"/>
      <c r="G4" s="5"/>
    </row>
    <row r="5" spans="1:7" x14ac:dyDescent="0.2">
      <c r="A5" s="2" t="s">
        <v>10</v>
      </c>
      <c r="B5" s="11" t="s">
        <v>953</v>
      </c>
      <c r="C5" s="1" t="s">
        <v>65</v>
      </c>
      <c r="D5" s="1" t="s">
        <v>261</v>
      </c>
      <c r="E5" s="1" t="s">
        <v>954</v>
      </c>
    </row>
    <row r="6" spans="1:7" x14ac:dyDescent="0.2">
      <c r="B6" s="1">
        <v>1100000</v>
      </c>
      <c r="C6" s="1">
        <v>0</v>
      </c>
      <c r="D6" s="6" t="s">
        <v>955</v>
      </c>
      <c r="E6" s="1">
        <v>99999</v>
      </c>
    </row>
    <row r="7" spans="1:7" x14ac:dyDescent="0.2">
      <c r="B7" s="1">
        <v>1100001</v>
      </c>
      <c r="C7" s="1">
        <v>1</v>
      </c>
      <c r="D7" s="6" t="s">
        <v>956</v>
      </c>
      <c r="E7" s="1">
        <v>20000</v>
      </c>
    </row>
    <row r="8" spans="1:7" x14ac:dyDescent="0.2">
      <c r="B8" s="1">
        <v>1100002</v>
      </c>
      <c r="C8" s="1">
        <v>2</v>
      </c>
      <c r="D8" s="6" t="s">
        <v>957</v>
      </c>
      <c r="E8" s="1">
        <v>10000</v>
      </c>
    </row>
    <row r="9" spans="1:7" x14ac:dyDescent="0.2">
      <c r="B9" s="1">
        <v>1100003</v>
      </c>
      <c r="C9" s="1">
        <v>3</v>
      </c>
      <c r="D9" s="6" t="s">
        <v>958</v>
      </c>
      <c r="E9" s="1">
        <v>5000</v>
      </c>
    </row>
    <row r="10" spans="1:7" x14ac:dyDescent="0.2">
      <c r="B10" s="1">
        <v>1100004</v>
      </c>
      <c r="C10" s="1">
        <v>4</v>
      </c>
      <c r="D10" s="6" t="s">
        <v>959</v>
      </c>
      <c r="E10" s="1">
        <v>3000</v>
      </c>
    </row>
    <row r="11" spans="1:7" x14ac:dyDescent="0.2">
      <c r="B11" s="1">
        <v>1100005</v>
      </c>
      <c r="C11" s="1">
        <v>5</v>
      </c>
      <c r="D11" s="6" t="s">
        <v>960</v>
      </c>
      <c r="E11" s="1">
        <v>500</v>
      </c>
    </row>
    <row r="12" spans="1:7" x14ac:dyDescent="0.2">
      <c r="B12" s="1">
        <v>1100006</v>
      </c>
      <c r="C12" s="1">
        <v>6</v>
      </c>
      <c r="D12" s="6" t="s">
        <v>961</v>
      </c>
      <c r="E12" s="1">
        <v>199</v>
      </c>
    </row>
    <row r="13" spans="1:7" x14ac:dyDescent="0.2">
      <c r="B13" s="1">
        <v>1100007</v>
      </c>
      <c r="C13" s="1">
        <v>7</v>
      </c>
      <c r="D13" s="6" t="s">
        <v>962</v>
      </c>
      <c r="E13" s="1">
        <v>99</v>
      </c>
    </row>
    <row r="14" spans="1:7" x14ac:dyDescent="0.2">
      <c r="B14" s="1">
        <v>1100008</v>
      </c>
      <c r="C14" s="1">
        <v>8</v>
      </c>
      <c r="D14" s="6" t="s">
        <v>963</v>
      </c>
      <c r="E14" s="1">
        <v>50</v>
      </c>
    </row>
    <row r="15" spans="1:7" x14ac:dyDescent="0.2">
      <c r="B15" s="1">
        <v>1100009</v>
      </c>
      <c r="C15" s="1">
        <v>9</v>
      </c>
      <c r="D15" s="6" t="s">
        <v>964</v>
      </c>
      <c r="E15" s="1">
        <v>20</v>
      </c>
    </row>
    <row r="16" spans="1:7" x14ac:dyDescent="0.2">
      <c r="B16" s="1">
        <v>1100010</v>
      </c>
      <c r="C16" s="1">
        <v>10</v>
      </c>
      <c r="D16" s="6" t="s">
        <v>965</v>
      </c>
      <c r="E16" s="1">
        <v>10</v>
      </c>
    </row>
  </sheetData>
  <phoneticPr fontId="12" type="noConversion"/>
  <pageMargins left="0.75" right="0.75" top="1" bottom="1" header="0.5" footer="0.5"/>
  <pageSetup paperSize="9" orientation="portrait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dimension ref="A1:D22"/>
  <sheetViews>
    <sheetView workbookViewId="0">
      <selection activeCell="B15" sqref="B15:I27"/>
    </sheetView>
  </sheetViews>
  <sheetFormatPr defaultColWidth="9" defaultRowHeight="14.25" x14ac:dyDescent="0.2"/>
  <cols>
    <col min="4" max="4" width="35.25" customWidth="1"/>
  </cols>
  <sheetData>
    <row r="1" spans="1:4" x14ac:dyDescent="0.2">
      <c r="A1" s="2" t="s">
        <v>0</v>
      </c>
      <c r="B1" s="3" t="s">
        <v>1</v>
      </c>
      <c r="C1" s="3" t="s">
        <v>39</v>
      </c>
      <c r="D1" s="3" t="s">
        <v>3</v>
      </c>
    </row>
    <row r="2" spans="1:4" x14ac:dyDescent="0.2">
      <c r="A2" s="2" t="s">
        <v>0</v>
      </c>
      <c r="B2" s="2"/>
      <c r="C2" s="2"/>
      <c r="D2" s="2"/>
    </row>
    <row r="3" spans="1:4" x14ac:dyDescent="0.2">
      <c r="A3" s="5" t="s">
        <v>6</v>
      </c>
      <c r="B3" s="5" t="s">
        <v>7</v>
      </c>
      <c r="C3" s="5" t="s">
        <v>7</v>
      </c>
      <c r="D3" s="4" t="s">
        <v>225</v>
      </c>
    </row>
    <row r="4" spans="1:4" x14ac:dyDescent="0.2">
      <c r="A4" s="5" t="s">
        <v>9</v>
      </c>
      <c r="B4" s="5"/>
      <c r="C4" s="5"/>
      <c r="D4" s="5"/>
    </row>
    <row r="5" spans="1:4" x14ac:dyDescent="0.2">
      <c r="A5" s="2" t="s">
        <v>10</v>
      </c>
      <c r="B5" s="3" t="s">
        <v>41</v>
      </c>
      <c r="C5" s="3" t="s">
        <v>244</v>
      </c>
      <c r="D5" s="3" t="s">
        <v>268</v>
      </c>
    </row>
    <row r="6" spans="1:4" x14ac:dyDescent="0.2">
      <c r="A6" s="1"/>
      <c r="B6" s="1">
        <v>3000001</v>
      </c>
      <c r="C6" s="1">
        <v>5</v>
      </c>
      <c r="D6" s="19" t="s">
        <v>966</v>
      </c>
    </row>
    <row r="7" spans="1:4" x14ac:dyDescent="0.2">
      <c r="A7" s="1"/>
      <c r="B7" s="1">
        <v>3000002</v>
      </c>
      <c r="C7" s="1">
        <v>10</v>
      </c>
      <c r="D7" s="19" t="s">
        <v>967</v>
      </c>
    </row>
    <row r="8" spans="1:4" x14ac:dyDescent="0.2">
      <c r="A8" s="1"/>
      <c r="B8" s="1">
        <v>3000003</v>
      </c>
      <c r="C8" s="1">
        <v>15</v>
      </c>
      <c r="D8" s="19" t="s">
        <v>968</v>
      </c>
    </row>
    <row r="9" spans="1:4" x14ac:dyDescent="0.2">
      <c r="A9" s="1"/>
      <c r="B9" s="1">
        <v>3000004</v>
      </c>
      <c r="C9" s="1">
        <v>20</v>
      </c>
      <c r="D9" s="19" t="s">
        <v>969</v>
      </c>
    </row>
    <row r="10" spans="1:4" x14ac:dyDescent="0.2">
      <c r="A10" s="1"/>
      <c r="B10" s="1">
        <v>3000005</v>
      </c>
      <c r="C10" s="1">
        <v>30</v>
      </c>
      <c r="D10" s="19" t="s">
        <v>970</v>
      </c>
    </row>
    <row r="11" spans="1:4" x14ac:dyDescent="0.2">
      <c r="A11" s="1"/>
      <c r="B11" s="1">
        <v>3000006</v>
      </c>
      <c r="C11" s="1">
        <v>40</v>
      </c>
      <c r="D11" s="19" t="s">
        <v>971</v>
      </c>
    </row>
    <row r="12" spans="1:4" x14ac:dyDescent="0.2">
      <c r="A12" s="1"/>
      <c r="B12" s="1">
        <v>3000007</v>
      </c>
      <c r="C12" s="1">
        <v>50</v>
      </c>
      <c r="D12" s="19" t="s">
        <v>824</v>
      </c>
    </row>
    <row r="13" spans="1:4" x14ac:dyDescent="0.2">
      <c r="A13" s="1"/>
      <c r="B13" s="1"/>
      <c r="C13" s="1"/>
      <c r="D13" s="1"/>
    </row>
    <row r="16" spans="1:4" x14ac:dyDescent="0.2">
      <c r="D16" s="19"/>
    </row>
    <row r="17" spans="4:4" x14ac:dyDescent="0.2">
      <c r="D17" s="19"/>
    </row>
    <row r="18" spans="4:4" x14ac:dyDescent="0.2">
      <c r="D18" s="19"/>
    </row>
    <row r="19" spans="4:4" x14ac:dyDescent="0.2">
      <c r="D19" s="19"/>
    </row>
    <row r="20" spans="4:4" x14ac:dyDescent="0.2">
      <c r="D20" s="19"/>
    </row>
    <row r="21" spans="4:4" x14ac:dyDescent="0.2">
      <c r="D21" s="19"/>
    </row>
    <row r="22" spans="4:4" x14ac:dyDescent="0.2">
      <c r="D22" s="19"/>
    </row>
  </sheetData>
  <phoneticPr fontId="12" type="noConversion"/>
  <pageMargins left="0.75" right="0.75" top="1" bottom="1" header="0.5" footer="0.5"/>
  <pageSetup paperSize="9" orientation="portrait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dimension ref="A1:F9"/>
  <sheetViews>
    <sheetView workbookViewId="0">
      <selection activeCell="E17" sqref="E17"/>
    </sheetView>
  </sheetViews>
  <sheetFormatPr defaultColWidth="9" defaultRowHeight="14.25" x14ac:dyDescent="0.2"/>
  <cols>
    <col min="1" max="2" width="9" style="1"/>
    <col min="3" max="4" width="27.375" style="1" customWidth="1"/>
    <col min="5" max="6" width="23.875" style="1" customWidth="1"/>
    <col min="7" max="16384" width="9" style="1"/>
  </cols>
  <sheetData>
    <row r="1" spans="1:6" x14ac:dyDescent="0.2">
      <c r="A1" s="2" t="s">
        <v>0</v>
      </c>
      <c r="B1" s="3" t="s">
        <v>1</v>
      </c>
      <c r="C1" s="3" t="s">
        <v>3</v>
      </c>
      <c r="D1" s="3" t="s">
        <v>259</v>
      </c>
      <c r="E1" s="3" t="s">
        <v>972</v>
      </c>
      <c r="F1" s="3" t="s">
        <v>973</v>
      </c>
    </row>
    <row r="2" spans="1:6" x14ac:dyDescent="0.2">
      <c r="A2" s="2" t="s">
        <v>0</v>
      </c>
      <c r="B2" s="2"/>
      <c r="C2" s="2"/>
      <c r="D2" s="2"/>
      <c r="E2" s="2"/>
      <c r="F2" s="2"/>
    </row>
    <row r="3" spans="1:6" x14ac:dyDescent="0.2">
      <c r="A3" s="5" t="s">
        <v>6</v>
      </c>
      <c r="B3" s="5" t="s">
        <v>7</v>
      </c>
      <c r="C3" s="5" t="s">
        <v>7</v>
      </c>
      <c r="D3" s="5" t="s">
        <v>7</v>
      </c>
      <c r="E3" s="5" t="s">
        <v>7</v>
      </c>
      <c r="F3" s="5" t="s">
        <v>7</v>
      </c>
    </row>
    <row r="4" spans="1:6" x14ac:dyDescent="0.2">
      <c r="A4" s="5" t="s">
        <v>9</v>
      </c>
      <c r="B4" s="5"/>
      <c r="C4" s="5"/>
      <c r="D4" s="5"/>
      <c r="E4" s="5"/>
      <c r="F4" s="5"/>
    </row>
    <row r="5" spans="1:6" x14ac:dyDescent="0.2">
      <c r="A5" s="2" t="s">
        <v>10</v>
      </c>
      <c r="B5" s="3" t="s">
        <v>41</v>
      </c>
      <c r="C5" s="3" t="s">
        <v>974</v>
      </c>
      <c r="D5" s="3" t="s">
        <v>975</v>
      </c>
      <c r="E5" s="3" t="s">
        <v>976</v>
      </c>
      <c r="F5" s="3" t="s">
        <v>977</v>
      </c>
    </row>
    <row r="6" spans="1:6" x14ac:dyDescent="0.2">
      <c r="B6" s="1">
        <v>1001</v>
      </c>
      <c r="C6" s="19" t="s">
        <v>978</v>
      </c>
      <c r="D6" s="19" t="s">
        <v>979</v>
      </c>
      <c r="E6" s="1">
        <v>40</v>
      </c>
      <c r="F6" s="1">
        <v>100</v>
      </c>
    </row>
    <row r="7" spans="1:6" x14ac:dyDescent="0.2">
      <c r="B7" s="1">
        <v>1002</v>
      </c>
      <c r="C7" s="19" t="s">
        <v>978</v>
      </c>
      <c r="D7" s="19" t="s">
        <v>980</v>
      </c>
      <c r="E7" s="1">
        <v>40</v>
      </c>
      <c r="F7" s="1">
        <v>100</v>
      </c>
    </row>
    <row r="8" spans="1:6" x14ac:dyDescent="0.2">
      <c r="B8" s="1">
        <v>1003</v>
      </c>
      <c r="C8" s="19" t="s">
        <v>981</v>
      </c>
      <c r="D8" s="19" t="s">
        <v>982</v>
      </c>
      <c r="E8" s="1">
        <v>50</v>
      </c>
      <c r="F8" s="1">
        <v>100</v>
      </c>
    </row>
    <row r="9" spans="1:6" x14ac:dyDescent="0.2">
      <c r="B9" s="1">
        <v>1004</v>
      </c>
      <c r="C9" s="19" t="s">
        <v>978</v>
      </c>
      <c r="D9" s="1">
        <v>50</v>
      </c>
      <c r="E9" s="1">
        <v>100</v>
      </c>
      <c r="F9" s="1">
        <v>100</v>
      </c>
    </row>
  </sheetData>
  <phoneticPr fontId="12" type="noConversion"/>
  <pageMargins left="0.75" right="0.75" top="1" bottom="1" header="0.5" footer="0.5"/>
  <pageSetup paperSize="9" orientation="portrait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dimension ref="A1:F10"/>
  <sheetViews>
    <sheetView workbookViewId="0">
      <selection activeCell="H21" sqref="H21"/>
    </sheetView>
  </sheetViews>
  <sheetFormatPr defaultColWidth="9" defaultRowHeight="14.25" x14ac:dyDescent="0.2"/>
  <cols>
    <col min="3" max="3" width="16.375" customWidth="1"/>
    <col min="4" max="4" width="52.75" customWidth="1"/>
    <col min="5" max="5" width="34.875" customWidth="1"/>
    <col min="6" max="6" width="16.5" style="1" customWidth="1"/>
  </cols>
  <sheetData>
    <row r="1" spans="1:6" x14ac:dyDescent="0.2">
      <c r="A1" s="2" t="s">
        <v>0</v>
      </c>
      <c r="B1" s="3" t="s">
        <v>1</v>
      </c>
      <c r="C1" s="3" t="s">
        <v>127</v>
      </c>
      <c r="D1" s="3" t="s">
        <v>3</v>
      </c>
      <c r="E1" s="3" t="s">
        <v>259</v>
      </c>
    </row>
    <row r="2" spans="1:6" x14ac:dyDescent="0.2">
      <c r="A2" s="2" t="s">
        <v>0</v>
      </c>
      <c r="B2" s="2"/>
      <c r="C2" s="2"/>
      <c r="D2" s="2"/>
      <c r="E2" s="2"/>
    </row>
    <row r="3" spans="1:6" x14ac:dyDescent="0.2">
      <c r="A3" s="5" t="s">
        <v>6</v>
      </c>
      <c r="B3" s="5" t="s">
        <v>7</v>
      </c>
      <c r="C3" s="5" t="s">
        <v>7</v>
      </c>
      <c r="D3" s="4" t="s">
        <v>225</v>
      </c>
      <c r="E3" s="4" t="s">
        <v>7</v>
      </c>
    </row>
    <row r="4" spans="1:6" x14ac:dyDescent="0.2">
      <c r="A4" s="5" t="s">
        <v>9</v>
      </c>
      <c r="B4" s="5"/>
      <c r="C4" s="5"/>
      <c r="D4" s="5"/>
      <c r="E4" s="5"/>
    </row>
    <row r="5" spans="1:6" x14ac:dyDescent="0.2">
      <c r="A5" s="2" t="s">
        <v>10</v>
      </c>
      <c r="B5" s="3" t="s">
        <v>983</v>
      </c>
      <c r="C5" s="3" t="s">
        <v>211</v>
      </c>
      <c r="D5" s="3" t="s">
        <v>984</v>
      </c>
      <c r="E5" s="3" t="s">
        <v>985</v>
      </c>
      <c r="F5" s="1" t="s">
        <v>986</v>
      </c>
    </row>
    <row r="6" spans="1:6" x14ac:dyDescent="0.2">
      <c r="A6" s="1"/>
      <c r="B6" s="11">
        <v>300001</v>
      </c>
      <c r="C6" s="1">
        <v>30</v>
      </c>
      <c r="D6" s="19" t="s">
        <v>987</v>
      </c>
      <c r="E6" s="13">
        <v>30000</v>
      </c>
      <c r="F6" s="1">
        <v>300</v>
      </c>
    </row>
    <row r="7" spans="1:6" x14ac:dyDescent="0.2">
      <c r="A7" s="1"/>
      <c r="B7" s="11">
        <v>300002</v>
      </c>
      <c r="C7" s="1">
        <v>98</v>
      </c>
      <c r="D7" s="19" t="s">
        <v>988</v>
      </c>
      <c r="E7" s="13">
        <v>98000</v>
      </c>
      <c r="F7" s="1">
        <v>1176</v>
      </c>
    </row>
    <row r="8" spans="1:6" x14ac:dyDescent="0.2">
      <c r="A8" s="1"/>
      <c r="B8" s="11">
        <v>300003</v>
      </c>
      <c r="C8" s="1">
        <v>328</v>
      </c>
      <c r="D8" s="19" t="s">
        <v>989</v>
      </c>
      <c r="E8" s="13">
        <v>328000</v>
      </c>
      <c r="F8" s="1">
        <v>5248</v>
      </c>
    </row>
    <row r="9" spans="1:6" x14ac:dyDescent="0.2">
      <c r="A9" s="1"/>
      <c r="B9" s="11">
        <v>300004</v>
      </c>
      <c r="C9" s="1">
        <v>648</v>
      </c>
      <c r="D9" s="19" t="s">
        <v>990</v>
      </c>
      <c r="E9" s="13">
        <v>648000</v>
      </c>
      <c r="F9" s="1">
        <v>12960</v>
      </c>
    </row>
    <row r="10" spans="1:6" x14ac:dyDescent="0.2">
      <c r="D10" s="20"/>
    </row>
  </sheetData>
  <phoneticPr fontId="12" type="noConversion"/>
  <pageMargins left="0.75" right="0.75" top="1" bottom="1" header="0.5" footer="0.5"/>
  <pageSetup paperSize="9" orientation="portrait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dimension ref="A1:D19"/>
  <sheetViews>
    <sheetView workbookViewId="0">
      <selection activeCell="E50" sqref="E50"/>
    </sheetView>
  </sheetViews>
  <sheetFormatPr defaultColWidth="9" defaultRowHeight="14.25" x14ac:dyDescent="0.2"/>
  <cols>
    <col min="3" max="3" width="16.75" customWidth="1"/>
    <col min="4" max="4" width="70.5" customWidth="1"/>
  </cols>
  <sheetData>
    <row r="1" spans="1:4" x14ac:dyDescent="0.2">
      <c r="A1" s="2" t="s">
        <v>0</v>
      </c>
      <c r="B1" s="3" t="s">
        <v>1</v>
      </c>
      <c r="C1" s="3" t="s">
        <v>127</v>
      </c>
      <c r="D1" s="3" t="s">
        <v>3</v>
      </c>
    </row>
    <row r="2" spans="1:4" x14ac:dyDescent="0.2">
      <c r="A2" s="2" t="s">
        <v>0</v>
      </c>
      <c r="B2" s="2"/>
      <c r="C2" s="2"/>
      <c r="D2" s="2"/>
    </row>
    <row r="3" spans="1:4" x14ac:dyDescent="0.2">
      <c r="A3" s="5" t="s">
        <v>6</v>
      </c>
      <c r="B3" s="5" t="s">
        <v>7</v>
      </c>
      <c r="C3" s="5" t="s">
        <v>7</v>
      </c>
      <c r="D3" s="4" t="s">
        <v>225</v>
      </c>
    </row>
    <row r="4" spans="1:4" x14ac:dyDescent="0.2">
      <c r="A4" s="5" t="s">
        <v>9</v>
      </c>
      <c r="B4" s="5"/>
      <c r="C4" s="5"/>
      <c r="D4" s="5"/>
    </row>
    <row r="5" spans="1:4" x14ac:dyDescent="0.2">
      <c r="A5" s="2" t="s">
        <v>10</v>
      </c>
      <c r="B5" s="3" t="s">
        <v>991</v>
      </c>
      <c r="C5" s="3" t="s">
        <v>992</v>
      </c>
      <c r="D5" s="3" t="s">
        <v>993</v>
      </c>
    </row>
    <row r="6" spans="1:4" x14ac:dyDescent="0.2">
      <c r="B6" s="1">
        <v>1000001</v>
      </c>
      <c r="C6" s="1">
        <v>6</v>
      </c>
      <c r="D6" t="s">
        <v>994</v>
      </c>
    </row>
    <row r="7" spans="1:4" x14ac:dyDescent="0.2">
      <c r="B7" s="1">
        <v>1000002</v>
      </c>
      <c r="C7" s="1">
        <v>30</v>
      </c>
      <c r="D7" t="s">
        <v>995</v>
      </c>
    </row>
    <row r="8" spans="1:4" x14ac:dyDescent="0.2">
      <c r="B8" s="1">
        <v>1000003</v>
      </c>
      <c r="C8" s="1">
        <v>68</v>
      </c>
      <c r="D8" t="s">
        <v>996</v>
      </c>
    </row>
    <row r="9" spans="1:4" x14ac:dyDescent="0.2">
      <c r="B9" s="1">
        <v>1000004</v>
      </c>
      <c r="C9" s="1">
        <v>128</v>
      </c>
      <c r="D9" t="s">
        <v>997</v>
      </c>
    </row>
    <row r="10" spans="1:4" x14ac:dyDescent="0.2">
      <c r="B10" s="1">
        <v>1000005</v>
      </c>
      <c r="C10" s="1">
        <v>228</v>
      </c>
      <c r="D10" t="s">
        <v>998</v>
      </c>
    </row>
    <row r="11" spans="1:4" x14ac:dyDescent="0.2">
      <c r="B11" s="1">
        <v>1000006</v>
      </c>
      <c r="C11" s="1">
        <v>388</v>
      </c>
      <c r="D11" t="s">
        <v>999</v>
      </c>
    </row>
    <row r="12" spans="1:4" x14ac:dyDescent="0.2">
      <c r="B12" s="1">
        <v>1000007</v>
      </c>
      <c r="C12" s="1">
        <v>688</v>
      </c>
      <c r="D12" t="s">
        <v>1000</v>
      </c>
    </row>
    <row r="13" spans="1:4" x14ac:dyDescent="0.2">
      <c r="B13" s="1">
        <v>1000008</v>
      </c>
      <c r="C13" s="1">
        <v>1088</v>
      </c>
      <c r="D13" t="s">
        <v>1001</v>
      </c>
    </row>
    <row r="14" spans="1:4" x14ac:dyDescent="0.2">
      <c r="B14" s="1">
        <v>1000009</v>
      </c>
      <c r="C14" s="1">
        <v>1688</v>
      </c>
      <c r="D14" t="s">
        <v>1002</v>
      </c>
    </row>
    <row r="15" spans="1:4" x14ac:dyDescent="0.2">
      <c r="B15" s="1">
        <v>1000010</v>
      </c>
      <c r="C15" s="1">
        <v>2688</v>
      </c>
      <c r="D15" t="s">
        <v>1003</v>
      </c>
    </row>
    <row r="16" spans="1:4" x14ac:dyDescent="0.2">
      <c r="B16" s="1">
        <v>1000011</v>
      </c>
      <c r="C16" s="1">
        <v>3888</v>
      </c>
      <c r="D16" t="s">
        <v>1004</v>
      </c>
    </row>
    <row r="17" spans="2:4" x14ac:dyDescent="0.2">
      <c r="B17" s="1">
        <v>1000012</v>
      </c>
      <c r="C17" s="1">
        <v>5888</v>
      </c>
      <c r="D17" t="s">
        <v>1005</v>
      </c>
    </row>
    <row r="18" spans="2:4" x14ac:dyDescent="0.2">
      <c r="B18" s="1">
        <v>1000013</v>
      </c>
      <c r="C18" s="1">
        <v>8888</v>
      </c>
      <c r="D18" t="s">
        <v>1006</v>
      </c>
    </row>
    <row r="19" spans="2:4" x14ac:dyDescent="0.2">
      <c r="B19" s="1">
        <v>1000014</v>
      </c>
      <c r="C19" s="1">
        <v>12888</v>
      </c>
      <c r="D19" t="s">
        <v>1007</v>
      </c>
    </row>
  </sheetData>
  <phoneticPr fontId="12" type="noConversion"/>
  <pageMargins left="0.75" right="0.75" top="1" bottom="1" header="0.5" footer="0.5"/>
  <pageSetup paperSize="9" orientation="portrait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dimension ref="A1:D9"/>
  <sheetViews>
    <sheetView workbookViewId="0">
      <selection activeCell="D13" sqref="D13"/>
    </sheetView>
  </sheetViews>
  <sheetFormatPr defaultColWidth="9" defaultRowHeight="14.25" x14ac:dyDescent="0.2"/>
  <cols>
    <col min="3" max="3" width="36.125" customWidth="1"/>
    <col min="4" max="4" width="107.625" customWidth="1"/>
  </cols>
  <sheetData>
    <row r="1" spans="1:4" x14ac:dyDescent="0.2">
      <c r="A1" s="2" t="s">
        <v>0</v>
      </c>
      <c r="B1" s="3" t="s">
        <v>1</v>
      </c>
      <c r="C1" s="3" t="s">
        <v>973</v>
      </c>
      <c r="D1" s="3"/>
    </row>
    <row r="2" spans="1:4" x14ac:dyDescent="0.2">
      <c r="A2" s="2" t="s">
        <v>0</v>
      </c>
      <c r="B2" s="2"/>
      <c r="C2" s="2"/>
      <c r="D2" s="2"/>
    </row>
    <row r="3" spans="1:4" x14ac:dyDescent="0.2">
      <c r="A3" s="5" t="s">
        <v>6</v>
      </c>
      <c r="B3" s="3" t="s">
        <v>7</v>
      </c>
      <c r="C3" s="3" t="s">
        <v>7</v>
      </c>
      <c r="D3" s="5"/>
    </row>
    <row r="4" spans="1:4" x14ac:dyDescent="0.2">
      <c r="A4" s="5" t="s">
        <v>9</v>
      </c>
      <c r="B4" s="5"/>
      <c r="C4" s="5"/>
      <c r="D4" s="5"/>
    </row>
    <row r="5" spans="1:4" x14ac:dyDescent="0.2">
      <c r="A5" s="2" t="s">
        <v>10</v>
      </c>
      <c r="B5" s="1" t="s">
        <v>1008</v>
      </c>
      <c r="C5" s="1" t="s">
        <v>1009</v>
      </c>
      <c r="D5" s="1"/>
    </row>
    <row r="6" spans="1:4" x14ac:dyDescent="0.2">
      <c r="A6" s="1"/>
      <c r="B6" s="1">
        <v>601</v>
      </c>
      <c r="C6" s="1">
        <v>30</v>
      </c>
      <c r="D6" s="1" t="s">
        <v>1010</v>
      </c>
    </row>
    <row r="7" spans="1:4" x14ac:dyDescent="0.2">
      <c r="A7" s="1"/>
      <c r="B7" s="1">
        <v>602</v>
      </c>
      <c r="C7" s="1">
        <v>20</v>
      </c>
      <c r="D7" s="1" t="s">
        <v>1011</v>
      </c>
    </row>
    <row r="8" spans="1:4" x14ac:dyDescent="0.2">
      <c r="A8" s="1"/>
      <c r="B8" s="1">
        <v>603</v>
      </c>
      <c r="C8" s="1">
        <v>30</v>
      </c>
      <c r="D8" s="1" t="s">
        <v>1012</v>
      </c>
    </row>
    <row r="9" spans="1:4" x14ac:dyDescent="0.2">
      <c r="A9" s="1"/>
      <c r="B9" s="1">
        <v>604</v>
      </c>
      <c r="C9" s="1">
        <v>20</v>
      </c>
      <c r="D9" s="1" t="s">
        <v>1013</v>
      </c>
    </row>
  </sheetData>
  <phoneticPr fontId="12" type="noConversion"/>
  <pageMargins left="0.75" right="0.75" top="1" bottom="1" header="0.5" footer="0.5"/>
  <pageSetup paperSize="9" orientation="portrait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dimension ref="A1:G11"/>
  <sheetViews>
    <sheetView workbookViewId="0">
      <selection activeCell="G25" sqref="G25"/>
    </sheetView>
  </sheetViews>
  <sheetFormatPr defaultColWidth="9" defaultRowHeight="14.25" x14ac:dyDescent="0.2"/>
  <cols>
    <col min="1" max="2" width="9" style="1"/>
    <col min="3" max="3" width="40.125" style="1" customWidth="1"/>
    <col min="4" max="4" width="22.875" style="1" customWidth="1"/>
    <col min="5" max="5" width="27.375" style="1" customWidth="1"/>
    <col min="6" max="6" width="34.625" style="19" customWidth="1"/>
    <col min="7" max="7" width="34.625" style="1" customWidth="1"/>
    <col min="8" max="8" width="11.5" style="1"/>
    <col min="9" max="16384" width="9" style="1"/>
  </cols>
  <sheetData>
    <row r="1" spans="1:7" x14ac:dyDescent="0.2">
      <c r="A1" s="2" t="s">
        <v>0</v>
      </c>
      <c r="B1" s="3" t="s">
        <v>1</v>
      </c>
      <c r="C1" s="3" t="s">
        <v>3</v>
      </c>
      <c r="D1" s="3" t="s">
        <v>1014</v>
      </c>
      <c r="E1" s="3" t="s">
        <v>127</v>
      </c>
      <c r="F1" s="4" t="s">
        <v>1015</v>
      </c>
      <c r="G1" s="3" t="s">
        <v>205</v>
      </c>
    </row>
    <row r="2" spans="1:7" x14ac:dyDescent="0.2">
      <c r="A2" s="2" t="s">
        <v>0</v>
      </c>
      <c r="B2" s="2"/>
      <c r="C2" s="2"/>
      <c r="D2" s="2"/>
      <c r="E2" s="2"/>
      <c r="F2" s="21"/>
      <c r="G2" s="2"/>
    </row>
    <row r="3" spans="1:7" x14ac:dyDescent="0.2">
      <c r="A3" s="5" t="s">
        <v>6</v>
      </c>
      <c r="B3" s="3" t="s">
        <v>7</v>
      </c>
      <c r="C3" s="3" t="s">
        <v>7</v>
      </c>
      <c r="D3" s="3" t="s">
        <v>7</v>
      </c>
      <c r="E3" s="3" t="s">
        <v>7</v>
      </c>
      <c r="F3" s="4" t="s">
        <v>8</v>
      </c>
      <c r="G3" s="3" t="s">
        <v>7</v>
      </c>
    </row>
    <row r="4" spans="1:7" x14ac:dyDescent="0.2">
      <c r="A4" s="5" t="s">
        <v>9</v>
      </c>
      <c r="B4" s="5"/>
      <c r="C4" s="5"/>
      <c r="D4" s="5"/>
      <c r="E4" s="5"/>
      <c r="F4" s="22"/>
      <c r="G4" s="5"/>
    </row>
    <row r="5" spans="1:7" x14ac:dyDescent="0.2">
      <c r="A5" s="2" t="s">
        <v>10</v>
      </c>
      <c r="B5" s="1" t="s">
        <v>412</v>
      </c>
      <c r="C5" s="1" t="s">
        <v>1016</v>
      </c>
      <c r="D5" s="1" t="s">
        <v>1017</v>
      </c>
      <c r="E5" s="1" t="s">
        <v>211</v>
      </c>
      <c r="F5" s="19" t="s">
        <v>1018</v>
      </c>
      <c r="G5" s="1" t="s">
        <v>1019</v>
      </c>
    </row>
    <row r="6" spans="1:7" x14ac:dyDescent="0.2">
      <c r="B6" s="1">
        <v>50001</v>
      </c>
      <c r="C6" s="13">
        <v>4000000</v>
      </c>
      <c r="D6" s="13">
        <v>4000000</v>
      </c>
      <c r="E6" s="13">
        <v>100</v>
      </c>
      <c r="F6" s="19" t="s">
        <v>1020</v>
      </c>
      <c r="G6" s="1">
        <v>1000</v>
      </c>
    </row>
    <row r="7" spans="1:7" x14ac:dyDescent="0.2">
      <c r="B7" s="1">
        <v>50002</v>
      </c>
      <c r="C7" s="13">
        <v>3200000</v>
      </c>
      <c r="D7" s="13">
        <v>3600000</v>
      </c>
      <c r="E7" s="13">
        <v>80</v>
      </c>
      <c r="F7" s="19" t="s">
        <v>1021</v>
      </c>
      <c r="G7" s="1">
        <v>1000</v>
      </c>
    </row>
    <row r="8" spans="1:7" x14ac:dyDescent="0.2">
      <c r="B8" s="1">
        <v>50003</v>
      </c>
      <c r="C8" s="13">
        <v>2720000</v>
      </c>
      <c r="D8" s="13">
        <v>3400000</v>
      </c>
      <c r="E8" s="13">
        <v>68</v>
      </c>
      <c r="F8" s="19" t="s">
        <v>1022</v>
      </c>
      <c r="G8" s="1">
        <v>1000</v>
      </c>
    </row>
    <row r="9" spans="1:7" x14ac:dyDescent="0.2">
      <c r="B9" s="1">
        <v>50004</v>
      </c>
      <c r="C9" s="13">
        <v>2320000</v>
      </c>
      <c r="D9" s="13">
        <v>3190000</v>
      </c>
      <c r="E9" s="13">
        <v>58</v>
      </c>
      <c r="F9" s="19" t="s">
        <v>1023</v>
      </c>
      <c r="G9" s="1">
        <v>1000</v>
      </c>
    </row>
    <row r="10" spans="1:7" x14ac:dyDescent="0.2">
      <c r="B10" s="1">
        <v>50005</v>
      </c>
      <c r="C10" s="13">
        <v>1520000</v>
      </c>
      <c r="D10" s="13">
        <v>2280000</v>
      </c>
      <c r="E10" s="13">
        <v>38</v>
      </c>
      <c r="F10" s="19" t="s">
        <v>1024</v>
      </c>
      <c r="G10" s="1">
        <v>1000</v>
      </c>
    </row>
    <row r="11" spans="1:7" x14ac:dyDescent="0.2">
      <c r="B11" s="1">
        <v>50006</v>
      </c>
      <c r="C11" s="13">
        <v>2460000</v>
      </c>
      <c r="D11" s="1">
        <v>0</v>
      </c>
      <c r="E11" s="13">
        <v>0</v>
      </c>
      <c r="F11" s="19" t="s">
        <v>1025</v>
      </c>
      <c r="G11" s="1">
        <v>1000</v>
      </c>
    </row>
  </sheetData>
  <phoneticPr fontId="12" type="noConversion"/>
  <pageMargins left="0.75" right="0.75" top="1" bottom="1" header="0.5" footer="0.5"/>
  <pageSetup paperSize="9" orientation="portrait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dimension ref="A1:E16"/>
  <sheetViews>
    <sheetView workbookViewId="0">
      <selection activeCell="B6" sqref="B6"/>
    </sheetView>
  </sheetViews>
  <sheetFormatPr defaultColWidth="9" defaultRowHeight="14.25" x14ac:dyDescent="0.2"/>
  <cols>
    <col min="1" max="2" width="9" style="1"/>
    <col min="3" max="3" width="50.25" style="1" customWidth="1"/>
    <col min="4" max="4" width="31.5" style="1" customWidth="1"/>
    <col min="5" max="5" width="25.5" style="1" customWidth="1"/>
    <col min="6" max="16384" width="9" style="1"/>
  </cols>
  <sheetData>
    <row r="1" spans="1:5" x14ac:dyDescent="0.2">
      <c r="A1" s="2" t="s">
        <v>0</v>
      </c>
      <c r="B1" s="3" t="s">
        <v>1</v>
      </c>
      <c r="C1" s="3" t="s">
        <v>167</v>
      </c>
      <c r="D1" s="3" t="s">
        <v>556</v>
      </c>
      <c r="E1" s="3" t="s">
        <v>3</v>
      </c>
    </row>
    <row r="2" spans="1:5" x14ac:dyDescent="0.2">
      <c r="A2" s="2" t="s">
        <v>0</v>
      </c>
      <c r="B2" s="2"/>
      <c r="C2" s="2"/>
      <c r="D2" s="2"/>
      <c r="E2" s="2"/>
    </row>
    <row r="3" spans="1:5" x14ac:dyDescent="0.2">
      <c r="A3" s="5" t="s">
        <v>6</v>
      </c>
      <c r="B3" s="3" t="s">
        <v>7</v>
      </c>
      <c r="C3" s="3" t="s">
        <v>8</v>
      </c>
      <c r="D3" s="3" t="s">
        <v>7</v>
      </c>
      <c r="E3" s="4" t="s">
        <v>225</v>
      </c>
    </row>
    <row r="4" spans="1:5" x14ac:dyDescent="0.2">
      <c r="A4" s="5" t="s">
        <v>9</v>
      </c>
      <c r="B4" s="5"/>
      <c r="C4" s="5"/>
      <c r="D4" s="5"/>
      <c r="E4" s="5"/>
    </row>
    <row r="5" spans="1:5" x14ac:dyDescent="0.2">
      <c r="A5" s="2" t="s">
        <v>10</v>
      </c>
      <c r="B5" s="1" t="s">
        <v>264</v>
      </c>
      <c r="C5" s="1" t="s">
        <v>265</v>
      </c>
      <c r="D5" s="1" t="s">
        <v>1026</v>
      </c>
      <c r="E5" s="1" t="s">
        <v>465</v>
      </c>
    </row>
    <row r="6" spans="1:5" x14ac:dyDescent="0.2">
      <c r="B6" s="1">
        <v>77001</v>
      </c>
      <c r="C6" s="1" t="s">
        <v>1027</v>
      </c>
      <c r="D6" s="13">
        <v>300000</v>
      </c>
      <c r="E6" s="1" t="s">
        <v>366</v>
      </c>
    </row>
    <row r="7" spans="1:5" x14ac:dyDescent="0.2">
      <c r="B7" s="1">
        <v>77002</v>
      </c>
      <c r="C7" s="1" t="s">
        <v>1028</v>
      </c>
      <c r="D7" s="13">
        <v>500000</v>
      </c>
      <c r="E7" s="1" t="s">
        <v>375</v>
      </c>
    </row>
    <row r="8" spans="1:5" x14ac:dyDescent="0.2">
      <c r="B8" s="1">
        <v>77003</v>
      </c>
      <c r="C8" s="1" t="s">
        <v>1029</v>
      </c>
      <c r="D8" s="13">
        <v>1500000</v>
      </c>
      <c r="E8" s="1" t="s">
        <v>1030</v>
      </c>
    </row>
    <row r="9" spans="1:5" x14ac:dyDescent="0.2">
      <c r="B9" s="1">
        <v>77004</v>
      </c>
      <c r="C9" s="1" t="s">
        <v>1031</v>
      </c>
      <c r="D9" s="13">
        <v>3000000</v>
      </c>
      <c r="E9" s="1" t="s">
        <v>1032</v>
      </c>
    </row>
    <row r="10" spans="1:5" x14ac:dyDescent="0.2">
      <c r="B10" s="1">
        <v>77005</v>
      </c>
      <c r="C10" s="1" t="s">
        <v>1033</v>
      </c>
      <c r="D10" s="13">
        <v>6000000</v>
      </c>
      <c r="E10" s="1" t="s">
        <v>1034</v>
      </c>
    </row>
    <row r="11" spans="1:5" x14ac:dyDescent="0.2">
      <c r="B11" s="1">
        <v>77006</v>
      </c>
      <c r="C11" s="1" t="s">
        <v>1035</v>
      </c>
      <c r="D11" s="13">
        <v>10000000</v>
      </c>
      <c r="E11" s="1" t="s">
        <v>1036</v>
      </c>
    </row>
    <row r="12" spans="1:5" x14ac:dyDescent="0.2">
      <c r="B12" s="1">
        <v>77007</v>
      </c>
      <c r="C12" s="1" t="s">
        <v>1037</v>
      </c>
      <c r="D12" s="13">
        <v>15000000</v>
      </c>
      <c r="E12" s="1" t="s">
        <v>1038</v>
      </c>
    </row>
    <row r="13" spans="1:5" x14ac:dyDescent="0.2">
      <c r="B13" s="1">
        <v>77008</v>
      </c>
      <c r="C13" s="1" t="s">
        <v>1039</v>
      </c>
      <c r="D13" s="13">
        <v>20000000</v>
      </c>
      <c r="E13" s="1" t="s">
        <v>1040</v>
      </c>
    </row>
    <row r="14" spans="1:5" x14ac:dyDescent="0.2">
      <c r="B14" s="1">
        <v>77009</v>
      </c>
      <c r="C14" s="1" t="s">
        <v>1041</v>
      </c>
      <c r="D14" s="13">
        <v>30000000</v>
      </c>
      <c r="E14" s="1" t="s">
        <v>1042</v>
      </c>
    </row>
    <row r="15" spans="1:5" x14ac:dyDescent="0.2">
      <c r="B15" s="1">
        <v>77010</v>
      </c>
      <c r="C15" s="1" t="s">
        <v>1043</v>
      </c>
      <c r="D15" s="13">
        <v>50000000</v>
      </c>
      <c r="E15" s="1" t="s">
        <v>1044</v>
      </c>
    </row>
    <row r="16" spans="1:5" x14ac:dyDescent="0.2">
      <c r="B16" s="1">
        <v>87001</v>
      </c>
      <c r="C16" s="1" t="s">
        <v>1045</v>
      </c>
      <c r="D16" s="13">
        <v>50000000</v>
      </c>
      <c r="E16" s="1" t="s">
        <v>1046</v>
      </c>
    </row>
  </sheetData>
  <phoneticPr fontId="12" type="noConversion"/>
  <pageMargins left="0.75" right="0.75" top="1" bottom="1" header="0.5" footer="0.5"/>
  <pageSetup paperSize="9" orientation="portrait"/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dimension ref="A1:G41"/>
  <sheetViews>
    <sheetView workbookViewId="0">
      <selection activeCell="K30" sqref="K30"/>
    </sheetView>
  </sheetViews>
  <sheetFormatPr defaultColWidth="9" defaultRowHeight="14.25" x14ac:dyDescent="0.2"/>
  <cols>
    <col min="3" max="3" width="13.625" customWidth="1"/>
    <col min="4" max="4" width="18.625" customWidth="1"/>
    <col min="5" max="5" width="23" customWidth="1"/>
    <col min="6" max="6" width="19" customWidth="1"/>
    <col min="7" max="7" width="18.125" style="1" customWidth="1"/>
    <col min="8" max="8" width="9.375"/>
  </cols>
  <sheetData>
    <row r="1" spans="1:7" x14ac:dyDescent="0.2">
      <c r="A1" s="2" t="s">
        <v>0</v>
      </c>
      <c r="B1" s="3" t="s">
        <v>1</v>
      </c>
      <c r="C1" s="3" t="s">
        <v>52</v>
      </c>
      <c r="D1" s="3" t="s">
        <v>3</v>
      </c>
      <c r="E1" s="3" t="s">
        <v>259</v>
      </c>
      <c r="F1" s="3" t="s">
        <v>33</v>
      </c>
      <c r="G1" s="3" t="s">
        <v>1047</v>
      </c>
    </row>
    <row r="2" spans="1:7" x14ac:dyDescent="0.2">
      <c r="A2" s="2" t="s">
        <v>0</v>
      </c>
      <c r="B2" s="2"/>
      <c r="C2" s="2"/>
      <c r="D2" s="2"/>
      <c r="E2" s="2"/>
      <c r="F2" s="2"/>
      <c r="G2" s="2"/>
    </row>
    <row r="3" spans="1:7" x14ac:dyDescent="0.2">
      <c r="A3" s="5" t="s">
        <v>6</v>
      </c>
      <c r="B3" s="3" t="s">
        <v>7</v>
      </c>
      <c r="C3" s="3" t="s">
        <v>7</v>
      </c>
      <c r="D3" s="5" t="s">
        <v>7</v>
      </c>
      <c r="E3" s="5" t="s">
        <v>7</v>
      </c>
      <c r="F3" s="5" t="s">
        <v>7</v>
      </c>
      <c r="G3" s="5" t="s">
        <v>7</v>
      </c>
    </row>
    <row r="4" spans="1:7" x14ac:dyDescent="0.2">
      <c r="A4" s="5" t="s">
        <v>9</v>
      </c>
      <c r="B4" s="5"/>
      <c r="C4" s="5"/>
      <c r="D4" s="5"/>
      <c r="E4" s="5"/>
      <c r="F4" s="5"/>
      <c r="G4" s="5"/>
    </row>
    <row r="5" spans="1:7" x14ac:dyDescent="0.2">
      <c r="A5" s="2" t="s">
        <v>10</v>
      </c>
      <c r="B5" s="1" t="s">
        <v>953</v>
      </c>
      <c r="C5" s="1" t="s">
        <v>256</v>
      </c>
      <c r="D5" s="1" t="s">
        <v>1048</v>
      </c>
      <c r="E5" s="1" t="s">
        <v>257</v>
      </c>
      <c r="F5" s="1" t="s">
        <v>1049</v>
      </c>
      <c r="G5" s="1" t="s">
        <v>1050</v>
      </c>
    </row>
    <row r="6" spans="1:7" x14ac:dyDescent="0.2">
      <c r="B6" s="1">
        <v>1010001</v>
      </c>
      <c r="C6" s="1">
        <v>1</v>
      </c>
      <c r="D6" s="1">
        <v>10002</v>
      </c>
      <c r="E6" s="1">
        <v>888</v>
      </c>
      <c r="F6" s="1">
        <v>356</v>
      </c>
      <c r="G6" s="1">
        <v>1</v>
      </c>
    </row>
    <row r="7" spans="1:7" x14ac:dyDescent="0.2">
      <c r="B7" s="1">
        <v>1010002</v>
      </c>
      <c r="C7" s="1">
        <v>1</v>
      </c>
      <c r="D7" s="1">
        <v>10002</v>
      </c>
      <c r="E7" s="1">
        <v>1888</v>
      </c>
      <c r="F7" s="1">
        <v>258</v>
      </c>
      <c r="G7" s="1">
        <v>1</v>
      </c>
    </row>
    <row r="8" spans="1:7" x14ac:dyDescent="0.2">
      <c r="B8" s="1">
        <v>1010003</v>
      </c>
      <c r="C8" s="1">
        <v>1</v>
      </c>
      <c r="D8" s="1">
        <v>10002</v>
      </c>
      <c r="E8" s="1">
        <v>6888</v>
      </c>
      <c r="F8" s="1">
        <v>188</v>
      </c>
      <c r="G8" s="1">
        <v>1</v>
      </c>
    </row>
    <row r="9" spans="1:7" x14ac:dyDescent="0.2">
      <c r="B9" s="1">
        <v>1010004</v>
      </c>
      <c r="C9" s="1">
        <v>1</v>
      </c>
      <c r="D9" s="1">
        <v>10002</v>
      </c>
      <c r="E9" s="1">
        <v>12888</v>
      </c>
      <c r="F9" s="1">
        <v>138</v>
      </c>
      <c r="G9" s="1">
        <v>1</v>
      </c>
    </row>
    <row r="10" spans="1:7" x14ac:dyDescent="0.2">
      <c r="B10" s="1">
        <v>1010005</v>
      </c>
      <c r="C10" s="1">
        <v>1</v>
      </c>
      <c r="D10" s="1">
        <v>10002</v>
      </c>
      <c r="E10" s="1">
        <v>18888</v>
      </c>
      <c r="F10" s="1">
        <v>30</v>
      </c>
      <c r="G10" s="1">
        <v>2</v>
      </c>
    </row>
    <row r="11" spans="1:7" x14ac:dyDescent="0.2">
      <c r="B11" s="1">
        <v>1010006</v>
      </c>
      <c r="C11" s="1">
        <v>1</v>
      </c>
      <c r="D11" s="1">
        <v>10002</v>
      </c>
      <c r="E11" s="1">
        <v>180000</v>
      </c>
      <c r="F11" s="1">
        <v>14</v>
      </c>
      <c r="G11" s="1">
        <v>2</v>
      </c>
    </row>
    <row r="12" spans="1:7" x14ac:dyDescent="0.2">
      <c r="B12" s="1">
        <v>1010007</v>
      </c>
      <c r="C12" s="1">
        <v>1</v>
      </c>
      <c r="D12" s="1">
        <v>10002</v>
      </c>
      <c r="E12" s="1">
        <v>380000</v>
      </c>
      <c r="F12" s="1">
        <v>8</v>
      </c>
      <c r="G12" s="1">
        <v>2</v>
      </c>
    </row>
    <row r="13" spans="1:7" x14ac:dyDescent="0.2">
      <c r="B13" s="1">
        <v>1010008</v>
      </c>
      <c r="C13" s="1">
        <v>1</v>
      </c>
      <c r="D13" s="1">
        <v>10002</v>
      </c>
      <c r="E13" s="1">
        <v>880000</v>
      </c>
      <c r="F13" s="1">
        <v>5</v>
      </c>
      <c r="G13" s="1">
        <v>3</v>
      </c>
    </row>
    <row r="14" spans="1:7" x14ac:dyDescent="0.2">
      <c r="B14" s="1">
        <v>1010009</v>
      </c>
      <c r="C14" s="1">
        <v>1</v>
      </c>
      <c r="D14" s="1">
        <v>10002</v>
      </c>
      <c r="E14" s="1">
        <v>1880000</v>
      </c>
      <c r="F14" s="1">
        <v>3</v>
      </c>
      <c r="G14" s="1">
        <v>3</v>
      </c>
    </row>
    <row r="15" spans="1:7" x14ac:dyDescent="0.2">
      <c r="B15" s="1">
        <v>2010001</v>
      </c>
      <c r="C15" s="1">
        <v>1</v>
      </c>
      <c r="D15" s="1">
        <v>10003</v>
      </c>
      <c r="E15" s="1">
        <v>444</v>
      </c>
      <c r="F15" s="1">
        <v>376</v>
      </c>
      <c r="G15" s="1">
        <v>1</v>
      </c>
    </row>
    <row r="16" spans="1:7" x14ac:dyDescent="0.2">
      <c r="B16" s="1">
        <v>2010002</v>
      </c>
      <c r="C16" s="1">
        <v>1</v>
      </c>
      <c r="D16" s="1">
        <v>10003</v>
      </c>
      <c r="E16" s="1">
        <v>1944</v>
      </c>
      <c r="F16" s="1">
        <v>258</v>
      </c>
      <c r="G16" s="1">
        <v>1</v>
      </c>
    </row>
    <row r="17" spans="2:7" x14ac:dyDescent="0.2">
      <c r="B17" s="1">
        <v>2010003</v>
      </c>
      <c r="C17" s="1">
        <v>1</v>
      </c>
      <c r="D17" s="1">
        <v>10003</v>
      </c>
      <c r="E17" s="1">
        <v>3444</v>
      </c>
      <c r="F17" s="1">
        <v>188</v>
      </c>
      <c r="G17" s="1">
        <v>1</v>
      </c>
    </row>
    <row r="18" spans="2:7" x14ac:dyDescent="0.2">
      <c r="B18" s="1">
        <v>2010004</v>
      </c>
      <c r="C18" s="1">
        <v>1</v>
      </c>
      <c r="D18" s="1">
        <v>10003</v>
      </c>
      <c r="E18" s="1">
        <v>4444</v>
      </c>
      <c r="F18" s="1">
        <v>128</v>
      </c>
      <c r="G18" s="1">
        <v>1</v>
      </c>
    </row>
    <row r="19" spans="2:7" x14ac:dyDescent="0.2">
      <c r="B19" s="1">
        <v>2010005</v>
      </c>
      <c r="C19" s="1">
        <v>1</v>
      </c>
      <c r="D19" s="1">
        <v>10003</v>
      </c>
      <c r="E19" s="1">
        <v>6444</v>
      </c>
      <c r="F19" s="1">
        <v>32</v>
      </c>
      <c r="G19" s="1">
        <v>2</v>
      </c>
    </row>
    <row r="20" spans="2:7" x14ac:dyDescent="0.2">
      <c r="B20" s="1">
        <v>2010006</v>
      </c>
      <c r="C20" s="1">
        <v>1</v>
      </c>
      <c r="D20" s="1">
        <v>10003</v>
      </c>
      <c r="E20" s="1">
        <v>90000</v>
      </c>
      <c r="F20" s="1">
        <v>10</v>
      </c>
      <c r="G20" s="1">
        <v>2</v>
      </c>
    </row>
    <row r="21" spans="2:7" x14ac:dyDescent="0.2">
      <c r="B21" s="1">
        <v>2010007</v>
      </c>
      <c r="C21" s="1">
        <v>1</v>
      </c>
      <c r="D21" s="1">
        <v>10003</v>
      </c>
      <c r="E21" s="1">
        <v>190000</v>
      </c>
      <c r="F21" s="1">
        <v>5</v>
      </c>
      <c r="G21" s="1">
        <v>2</v>
      </c>
    </row>
    <row r="22" spans="2:7" x14ac:dyDescent="0.2">
      <c r="B22" s="1">
        <v>2010008</v>
      </c>
      <c r="C22" s="1">
        <v>1</v>
      </c>
      <c r="D22" s="1">
        <v>10003</v>
      </c>
      <c r="E22" s="1">
        <v>290000</v>
      </c>
      <c r="F22" s="1">
        <v>2</v>
      </c>
      <c r="G22" s="1">
        <v>3</v>
      </c>
    </row>
    <row r="23" spans="2:7" x14ac:dyDescent="0.2">
      <c r="B23" s="1">
        <v>2010009</v>
      </c>
      <c r="C23" s="1">
        <v>1</v>
      </c>
      <c r="D23" s="1">
        <v>10003</v>
      </c>
      <c r="E23" s="1">
        <v>440000</v>
      </c>
      <c r="F23" s="1">
        <v>1</v>
      </c>
      <c r="G23" s="1">
        <v>3</v>
      </c>
    </row>
    <row r="24" spans="2:7" x14ac:dyDescent="0.2">
      <c r="B24" s="1">
        <v>3010001</v>
      </c>
      <c r="C24" s="1">
        <v>1</v>
      </c>
      <c r="D24" s="1">
        <v>2001</v>
      </c>
      <c r="E24" s="1">
        <v>2</v>
      </c>
      <c r="F24" s="1">
        <v>330</v>
      </c>
      <c r="G24" s="1">
        <v>1</v>
      </c>
    </row>
    <row r="25" spans="2:7" x14ac:dyDescent="0.2">
      <c r="B25" s="1">
        <v>3010002</v>
      </c>
      <c r="C25" s="1">
        <v>1</v>
      </c>
      <c r="D25" s="1">
        <v>2001</v>
      </c>
      <c r="E25" s="1">
        <v>4</v>
      </c>
      <c r="F25" s="1">
        <v>230</v>
      </c>
      <c r="G25" s="1">
        <v>1</v>
      </c>
    </row>
    <row r="26" spans="2:7" x14ac:dyDescent="0.2">
      <c r="B26" s="1">
        <v>3010003</v>
      </c>
      <c r="C26" s="1">
        <v>1</v>
      </c>
      <c r="D26" s="1">
        <v>2001</v>
      </c>
      <c r="E26" s="1">
        <v>8</v>
      </c>
      <c r="F26" s="1">
        <v>160</v>
      </c>
      <c r="G26" s="1">
        <v>1</v>
      </c>
    </row>
    <row r="27" spans="2:7" x14ac:dyDescent="0.2">
      <c r="B27" s="1">
        <v>3010004</v>
      </c>
      <c r="C27" s="1">
        <v>1</v>
      </c>
      <c r="D27" s="1">
        <v>2001</v>
      </c>
      <c r="E27" s="1">
        <v>18</v>
      </c>
      <c r="F27" s="1">
        <v>110</v>
      </c>
      <c r="G27" s="1">
        <v>1</v>
      </c>
    </row>
    <row r="28" spans="2:7" x14ac:dyDescent="0.2">
      <c r="B28" s="1">
        <v>3010005</v>
      </c>
      <c r="C28" s="1">
        <v>1</v>
      </c>
      <c r="D28" s="1">
        <v>2001</v>
      </c>
      <c r="E28" s="1">
        <v>38</v>
      </c>
      <c r="F28" s="1">
        <v>80</v>
      </c>
      <c r="G28" s="1">
        <v>2</v>
      </c>
    </row>
    <row r="29" spans="2:7" x14ac:dyDescent="0.2">
      <c r="B29" s="1">
        <v>3010006</v>
      </c>
      <c r="C29" s="1">
        <v>1</v>
      </c>
      <c r="D29" s="1">
        <v>2001</v>
      </c>
      <c r="E29" s="1">
        <v>58</v>
      </c>
      <c r="F29" s="1">
        <v>40</v>
      </c>
      <c r="G29" s="1">
        <v>2</v>
      </c>
    </row>
    <row r="30" spans="2:7" x14ac:dyDescent="0.2">
      <c r="B30" s="1">
        <v>3010007</v>
      </c>
      <c r="C30" s="1">
        <v>1</v>
      </c>
      <c r="D30" s="1">
        <v>2001</v>
      </c>
      <c r="E30" s="1">
        <v>88</v>
      </c>
      <c r="F30" s="1">
        <v>20</v>
      </c>
      <c r="G30" s="1">
        <v>2</v>
      </c>
    </row>
    <row r="31" spans="2:7" x14ac:dyDescent="0.2">
      <c r="B31" s="1">
        <v>3010008</v>
      </c>
      <c r="C31" s="1">
        <v>1</v>
      </c>
      <c r="D31" s="1">
        <v>2001</v>
      </c>
      <c r="E31" s="1">
        <v>138</v>
      </c>
      <c r="F31" s="1">
        <v>20</v>
      </c>
      <c r="G31" s="1">
        <v>2</v>
      </c>
    </row>
    <row r="32" spans="2:7" x14ac:dyDescent="0.2">
      <c r="B32" s="1">
        <v>3010009</v>
      </c>
      <c r="C32" s="1">
        <v>1</v>
      </c>
      <c r="D32" s="1">
        <v>2001</v>
      </c>
      <c r="E32" s="1">
        <v>188</v>
      </c>
      <c r="F32" s="1">
        <v>10</v>
      </c>
      <c r="G32" s="1">
        <v>3</v>
      </c>
    </row>
    <row r="33" spans="2:7" x14ac:dyDescent="0.2">
      <c r="B33" s="1">
        <v>4010001</v>
      </c>
      <c r="C33" s="1">
        <v>2</v>
      </c>
      <c r="D33" s="1">
        <v>10002</v>
      </c>
      <c r="E33" s="1">
        <v>800000</v>
      </c>
      <c r="F33" s="1">
        <v>330</v>
      </c>
      <c r="G33" s="1">
        <v>1</v>
      </c>
    </row>
    <row r="34" spans="2:7" x14ac:dyDescent="0.2">
      <c r="B34" s="1">
        <v>4010002</v>
      </c>
      <c r="C34" s="1">
        <v>2</v>
      </c>
      <c r="D34" s="1">
        <v>10002</v>
      </c>
      <c r="E34" s="1">
        <v>960000</v>
      </c>
      <c r="F34" s="1">
        <v>230</v>
      </c>
      <c r="G34" s="1">
        <v>1</v>
      </c>
    </row>
    <row r="35" spans="2:7" x14ac:dyDescent="0.2">
      <c r="B35" s="1">
        <v>4010003</v>
      </c>
      <c r="C35" s="1">
        <v>2</v>
      </c>
      <c r="D35" s="1">
        <v>10002</v>
      </c>
      <c r="E35" s="1">
        <v>1160000</v>
      </c>
      <c r="F35" s="1">
        <v>160</v>
      </c>
      <c r="G35" s="1">
        <v>1</v>
      </c>
    </row>
    <row r="36" spans="2:7" x14ac:dyDescent="0.2">
      <c r="B36" s="1">
        <v>4010004</v>
      </c>
      <c r="C36" s="1">
        <v>2</v>
      </c>
      <c r="D36" s="1">
        <v>10002</v>
      </c>
      <c r="E36" s="1">
        <v>1360000</v>
      </c>
      <c r="F36" s="1">
        <v>110</v>
      </c>
      <c r="G36" s="1">
        <v>1</v>
      </c>
    </row>
    <row r="37" spans="2:7" x14ac:dyDescent="0.2">
      <c r="B37" s="1">
        <v>4010005</v>
      </c>
      <c r="C37" s="1">
        <v>2</v>
      </c>
      <c r="D37" s="1">
        <v>10002</v>
      </c>
      <c r="E37" s="1">
        <v>1700000</v>
      </c>
      <c r="F37" s="1">
        <v>80</v>
      </c>
      <c r="G37" s="1">
        <v>1</v>
      </c>
    </row>
    <row r="38" spans="2:7" x14ac:dyDescent="0.2">
      <c r="B38" s="1">
        <v>4010006</v>
      </c>
      <c r="C38" s="1">
        <v>2</v>
      </c>
      <c r="D38" s="1">
        <v>10002</v>
      </c>
      <c r="E38" s="1">
        <v>2360000</v>
      </c>
      <c r="F38" s="1">
        <v>40</v>
      </c>
      <c r="G38" s="1">
        <v>2</v>
      </c>
    </row>
    <row r="39" spans="2:7" x14ac:dyDescent="0.2">
      <c r="B39" s="1">
        <v>4010007</v>
      </c>
      <c r="C39" s="1">
        <v>2</v>
      </c>
      <c r="D39" s="1">
        <v>10002</v>
      </c>
      <c r="E39" s="1">
        <v>7760000</v>
      </c>
      <c r="F39" s="1">
        <v>20</v>
      </c>
      <c r="G39" s="1">
        <v>2</v>
      </c>
    </row>
    <row r="40" spans="2:7" x14ac:dyDescent="0.2">
      <c r="B40" s="1">
        <v>4010008</v>
      </c>
      <c r="C40" s="1">
        <v>2</v>
      </c>
      <c r="D40" s="1">
        <v>10002</v>
      </c>
      <c r="E40" s="1">
        <v>11760000</v>
      </c>
      <c r="F40" s="1">
        <v>20</v>
      </c>
      <c r="G40" s="1">
        <v>2</v>
      </c>
    </row>
    <row r="41" spans="2:7" x14ac:dyDescent="0.2">
      <c r="B41" s="1">
        <v>4010009</v>
      </c>
      <c r="C41" s="1">
        <v>2</v>
      </c>
      <c r="D41" s="1">
        <v>10002</v>
      </c>
      <c r="E41" s="1">
        <v>25760000</v>
      </c>
      <c r="F41" s="1">
        <v>10</v>
      </c>
      <c r="G41" s="1">
        <v>3</v>
      </c>
    </row>
  </sheetData>
  <phoneticPr fontId="12" type="noConversion"/>
  <pageMargins left="0.75" right="0.75" top="1" bottom="1" header="0.5" footer="0.5"/>
  <pageSetup paperSize="9" orientation="portrait"/>
  <legacyDrawing r:id="rId1"/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dimension ref="A1:H13"/>
  <sheetViews>
    <sheetView workbookViewId="0">
      <selection activeCell="H40" sqref="H40"/>
    </sheetView>
  </sheetViews>
  <sheetFormatPr defaultColWidth="9" defaultRowHeight="14.25" x14ac:dyDescent="0.2"/>
  <cols>
    <col min="4" max="4" width="16.375" customWidth="1"/>
    <col min="5" max="5" width="18.25" customWidth="1"/>
    <col min="6" max="6" width="21.5" customWidth="1"/>
    <col min="7" max="7" width="15" customWidth="1"/>
    <col min="8" max="8" width="20" customWidth="1"/>
  </cols>
  <sheetData>
    <row r="1" spans="1:8" x14ac:dyDescent="0.2">
      <c r="A1" s="2" t="s">
        <v>0</v>
      </c>
      <c r="B1" s="3" t="s">
        <v>1</v>
      </c>
      <c r="C1" s="3" t="s">
        <v>52</v>
      </c>
      <c r="D1" s="3" t="s">
        <v>1051</v>
      </c>
      <c r="E1" s="3" t="s">
        <v>1052</v>
      </c>
      <c r="F1" s="3" t="s">
        <v>1053</v>
      </c>
      <c r="G1" s="3" t="s">
        <v>1054</v>
      </c>
      <c r="H1" s="3" t="s">
        <v>1014</v>
      </c>
    </row>
    <row r="2" spans="1:8" x14ac:dyDescent="0.2">
      <c r="A2" s="2" t="s">
        <v>0</v>
      </c>
      <c r="B2" s="2"/>
      <c r="C2" s="2"/>
      <c r="D2" s="2"/>
      <c r="E2" s="2"/>
      <c r="F2" s="2"/>
      <c r="G2" s="2"/>
      <c r="H2" s="2"/>
    </row>
    <row r="3" spans="1:8" x14ac:dyDescent="0.2">
      <c r="A3" s="5" t="s">
        <v>6</v>
      </c>
      <c r="B3" s="3" t="s">
        <v>7</v>
      </c>
      <c r="C3" s="3" t="s">
        <v>7</v>
      </c>
      <c r="D3" s="3" t="s">
        <v>7</v>
      </c>
      <c r="E3" s="5" t="s">
        <v>7</v>
      </c>
      <c r="F3" s="5" t="s">
        <v>7</v>
      </c>
      <c r="G3" s="5" t="s">
        <v>7</v>
      </c>
      <c r="H3" s="5" t="s">
        <v>7</v>
      </c>
    </row>
    <row r="4" spans="1:8" x14ac:dyDescent="0.2">
      <c r="A4" s="5" t="s">
        <v>9</v>
      </c>
      <c r="B4" s="5"/>
      <c r="C4" s="5"/>
      <c r="D4" s="5"/>
      <c r="E4" s="5"/>
      <c r="F4" s="5"/>
      <c r="G4" s="5"/>
      <c r="H4" s="5"/>
    </row>
    <row r="5" spans="1:8" x14ac:dyDescent="0.2">
      <c r="A5" s="2" t="s">
        <v>10</v>
      </c>
      <c r="B5" s="1" t="s">
        <v>1055</v>
      </c>
      <c r="C5" s="1" t="s">
        <v>1056</v>
      </c>
      <c r="D5" s="1" t="s">
        <v>1057</v>
      </c>
      <c r="E5" s="1" t="s">
        <v>1058</v>
      </c>
      <c r="F5" s="1" t="s">
        <v>1059</v>
      </c>
      <c r="G5" s="1" t="s">
        <v>1060</v>
      </c>
      <c r="H5" s="1" t="s">
        <v>1061</v>
      </c>
    </row>
    <row r="6" spans="1:8" x14ac:dyDescent="0.2">
      <c r="A6" s="1"/>
      <c r="B6" s="1">
        <v>1101</v>
      </c>
      <c r="C6" s="1">
        <v>1</v>
      </c>
      <c r="D6" s="1">
        <v>1</v>
      </c>
      <c r="E6" s="1">
        <v>200000</v>
      </c>
      <c r="F6" s="1">
        <v>1010001</v>
      </c>
      <c r="G6" s="1">
        <v>9</v>
      </c>
      <c r="H6" s="1">
        <v>0</v>
      </c>
    </row>
    <row r="7" spans="1:8" x14ac:dyDescent="0.2">
      <c r="A7" s="1"/>
      <c r="B7" s="1">
        <v>1102</v>
      </c>
      <c r="C7" s="1">
        <v>1</v>
      </c>
      <c r="D7" s="1">
        <v>10</v>
      </c>
      <c r="E7" s="1">
        <v>2000000</v>
      </c>
      <c r="F7" s="1">
        <v>1010001</v>
      </c>
      <c r="G7" s="1">
        <v>9</v>
      </c>
      <c r="H7" s="1">
        <v>0</v>
      </c>
    </row>
    <row r="8" spans="1:8" x14ac:dyDescent="0.2">
      <c r="A8" s="1"/>
      <c r="B8" s="1">
        <v>1201</v>
      </c>
      <c r="C8" s="1">
        <v>1</v>
      </c>
      <c r="D8" s="1">
        <v>1</v>
      </c>
      <c r="E8" s="1">
        <v>500000</v>
      </c>
      <c r="F8" s="1">
        <v>2010001</v>
      </c>
      <c r="G8" s="1">
        <v>9</v>
      </c>
      <c r="H8" s="1">
        <v>0</v>
      </c>
    </row>
    <row r="9" spans="1:8" x14ac:dyDescent="0.2">
      <c r="A9" s="1"/>
      <c r="B9" s="1">
        <v>1202</v>
      </c>
      <c r="C9" s="1">
        <v>1</v>
      </c>
      <c r="D9" s="1">
        <v>10</v>
      </c>
      <c r="E9" s="1">
        <v>5000000</v>
      </c>
      <c r="F9" s="1">
        <v>2010001</v>
      </c>
      <c r="G9" s="1">
        <v>9</v>
      </c>
      <c r="H9" s="1">
        <v>0</v>
      </c>
    </row>
    <row r="10" spans="1:8" x14ac:dyDescent="0.2">
      <c r="A10" s="1"/>
      <c r="B10" s="1">
        <v>1301</v>
      </c>
      <c r="C10" s="1">
        <v>1</v>
      </c>
      <c r="D10" s="1">
        <v>1</v>
      </c>
      <c r="E10" s="1">
        <v>500000</v>
      </c>
      <c r="F10" s="1">
        <v>3010001</v>
      </c>
      <c r="G10" s="1">
        <v>9</v>
      </c>
      <c r="H10" s="1">
        <v>0</v>
      </c>
    </row>
    <row r="11" spans="1:8" x14ac:dyDescent="0.2">
      <c r="A11" s="1"/>
      <c r="B11" s="1">
        <v>1302</v>
      </c>
      <c r="C11" s="1">
        <v>1</v>
      </c>
      <c r="D11" s="1">
        <v>10</v>
      </c>
      <c r="E11" s="1">
        <v>5000000</v>
      </c>
      <c r="F11" s="1">
        <v>3010001</v>
      </c>
      <c r="G11" s="1">
        <v>9</v>
      </c>
      <c r="H11" s="1">
        <v>0</v>
      </c>
    </row>
    <row r="12" spans="1:8" x14ac:dyDescent="0.2">
      <c r="A12" s="1"/>
      <c r="B12" s="1">
        <v>2101</v>
      </c>
      <c r="C12" s="1">
        <v>2</v>
      </c>
      <c r="D12" s="1">
        <v>1</v>
      </c>
      <c r="E12" s="1">
        <v>200000</v>
      </c>
      <c r="F12" s="1">
        <v>4010001</v>
      </c>
      <c r="G12" s="1">
        <v>9</v>
      </c>
      <c r="H12" s="1">
        <v>1</v>
      </c>
    </row>
    <row r="13" spans="1:8" x14ac:dyDescent="0.2">
      <c r="A13" s="1"/>
      <c r="B13" s="1">
        <v>2102</v>
      </c>
      <c r="C13" s="1">
        <v>2</v>
      </c>
      <c r="D13" s="1">
        <v>10</v>
      </c>
      <c r="E13" s="1">
        <v>1800000</v>
      </c>
      <c r="F13" s="1">
        <v>4010001</v>
      </c>
      <c r="G13" s="1">
        <v>9</v>
      </c>
      <c r="H13" s="1">
        <v>10</v>
      </c>
    </row>
  </sheetData>
  <phoneticPr fontId="12" type="noConversion"/>
  <pageMargins left="0.75" right="0.75" top="1" bottom="1" header="0.5" footer="0.5"/>
  <pageSetup paperSize="9" orientation="portrait"/>
  <legacyDrawing r:id="rId1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dimension ref="A1:I10"/>
  <sheetViews>
    <sheetView workbookViewId="0">
      <selection activeCell="B14" sqref="B14"/>
    </sheetView>
  </sheetViews>
  <sheetFormatPr defaultColWidth="9" defaultRowHeight="14.25" x14ac:dyDescent="0.2"/>
  <cols>
    <col min="3" max="3" width="12" customWidth="1"/>
    <col min="4" max="4" width="11.5" customWidth="1"/>
    <col min="5" max="5" width="33.875" customWidth="1"/>
    <col min="6" max="6" width="19.875" customWidth="1"/>
    <col min="7" max="7" width="19.375" customWidth="1"/>
    <col min="8" max="8" width="29.875" customWidth="1"/>
    <col min="9" max="9" width="31.375" customWidth="1"/>
  </cols>
  <sheetData>
    <row r="1" spans="1:9" x14ac:dyDescent="0.2">
      <c r="A1" s="2" t="s">
        <v>0</v>
      </c>
      <c r="B1" s="3" t="s">
        <v>1</v>
      </c>
      <c r="C1" s="3" t="s">
        <v>52</v>
      </c>
      <c r="D1" s="4" t="s">
        <v>66</v>
      </c>
      <c r="E1" s="4" t="s">
        <v>542</v>
      </c>
      <c r="F1" s="3" t="s">
        <v>127</v>
      </c>
      <c r="G1" s="3" t="s">
        <v>259</v>
      </c>
      <c r="H1" s="3" t="s">
        <v>552</v>
      </c>
      <c r="I1" s="3" t="s">
        <v>1014</v>
      </c>
    </row>
    <row r="2" spans="1:9" x14ac:dyDescent="0.2">
      <c r="A2" s="2" t="s">
        <v>0</v>
      </c>
      <c r="B2" s="2"/>
      <c r="C2" s="2"/>
      <c r="D2" s="2"/>
      <c r="E2" s="2"/>
      <c r="F2" s="2"/>
      <c r="G2" s="2"/>
      <c r="H2" s="2"/>
      <c r="I2" s="2"/>
    </row>
    <row r="3" spans="1:9" x14ac:dyDescent="0.2">
      <c r="A3" s="5" t="s">
        <v>6</v>
      </c>
      <c r="B3" s="3" t="s">
        <v>7</v>
      </c>
      <c r="C3" s="3" t="s">
        <v>7</v>
      </c>
      <c r="D3" s="3" t="s">
        <v>8</v>
      </c>
      <c r="E3" s="4" t="s">
        <v>225</v>
      </c>
      <c r="F3" s="3" t="s">
        <v>7</v>
      </c>
      <c r="G3" s="3" t="s">
        <v>7</v>
      </c>
      <c r="H3" s="3" t="s">
        <v>7</v>
      </c>
      <c r="I3" s="3" t="s">
        <v>7</v>
      </c>
    </row>
    <row r="4" spans="1:9" x14ac:dyDescent="0.2">
      <c r="A4" s="5" t="s">
        <v>9</v>
      </c>
      <c r="B4" s="5"/>
      <c r="C4" s="5"/>
      <c r="D4" s="5"/>
      <c r="E4" s="5"/>
      <c r="F4" s="5"/>
      <c r="G4" s="5"/>
      <c r="H4" s="5"/>
      <c r="I4" s="5"/>
    </row>
    <row r="5" spans="1:9" x14ac:dyDescent="0.2">
      <c r="A5" s="2" t="s">
        <v>10</v>
      </c>
      <c r="B5" s="1" t="s">
        <v>412</v>
      </c>
      <c r="C5" s="1" t="s">
        <v>1062</v>
      </c>
      <c r="D5" s="1" t="s">
        <v>640</v>
      </c>
      <c r="E5" s="1" t="s">
        <v>1063</v>
      </c>
      <c r="F5" s="1" t="s">
        <v>448</v>
      </c>
      <c r="G5" s="1" t="s">
        <v>1064</v>
      </c>
      <c r="H5" s="1" t="s">
        <v>1065</v>
      </c>
      <c r="I5" s="1" t="s">
        <v>1066</v>
      </c>
    </row>
    <row r="6" spans="1:9" x14ac:dyDescent="0.2">
      <c r="B6" s="1">
        <v>7001</v>
      </c>
      <c r="C6" s="1">
        <v>1</v>
      </c>
      <c r="D6" s="1" t="s">
        <v>1067</v>
      </c>
      <c r="E6" s="19" t="s">
        <v>1068</v>
      </c>
      <c r="F6" s="1">
        <v>6</v>
      </c>
      <c r="G6" s="1">
        <v>48000</v>
      </c>
      <c r="H6" s="1">
        <v>80</v>
      </c>
      <c r="I6" s="1">
        <v>3</v>
      </c>
    </row>
    <row r="7" spans="1:9" x14ac:dyDescent="0.2">
      <c r="B7" s="1">
        <v>7002</v>
      </c>
      <c r="C7" s="1">
        <v>2</v>
      </c>
      <c r="D7" s="1" t="s">
        <v>1069</v>
      </c>
      <c r="E7" s="19" t="s">
        <v>1070</v>
      </c>
      <c r="F7" s="1">
        <v>128</v>
      </c>
      <c r="G7" s="1">
        <v>640000</v>
      </c>
      <c r="H7" s="1">
        <v>80</v>
      </c>
      <c r="I7" s="1">
        <v>10</v>
      </c>
    </row>
    <row r="8" spans="1:9" x14ac:dyDescent="0.2">
      <c r="B8" s="1">
        <v>7003</v>
      </c>
      <c r="C8" s="1">
        <v>3</v>
      </c>
      <c r="D8" s="1" t="s">
        <v>1071</v>
      </c>
      <c r="E8" s="19" t="s">
        <v>1072</v>
      </c>
      <c r="F8" s="1">
        <v>388</v>
      </c>
      <c r="G8" s="1">
        <v>1164000</v>
      </c>
      <c r="H8" s="1">
        <v>80</v>
      </c>
      <c r="I8" s="1">
        <v>30</v>
      </c>
    </row>
    <row r="9" spans="1:9" x14ac:dyDescent="0.2">
      <c r="E9" s="20"/>
    </row>
    <row r="10" spans="1:9" x14ac:dyDescent="0.2">
      <c r="E10" s="20"/>
    </row>
  </sheetData>
  <phoneticPr fontId="12" type="noConversion"/>
  <pageMargins left="0.75" right="0.75" top="1" bottom="1" header="0.5" footer="0.5"/>
  <pageSetup paperSize="9" orientation="portrait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dimension ref="A1:D16"/>
  <sheetViews>
    <sheetView workbookViewId="0">
      <selection activeCell="D23" sqref="D23"/>
    </sheetView>
  </sheetViews>
  <sheetFormatPr defaultColWidth="9" defaultRowHeight="14.25" x14ac:dyDescent="0.2"/>
  <cols>
    <col min="3" max="3" width="41.875" customWidth="1"/>
    <col min="4" max="4" width="30.5" customWidth="1"/>
  </cols>
  <sheetData>
    <row r="1" spans="1:4" x14ac:dyDescent="0.2">
      <c r="A1" s="2" t="s">
        <v>0</v>
      </c>
      <c r="B1" s="3" t="s">
        <v>1</v>
      </c>
      <c r="C1" s="3" t="s">
        <v>1073</v>
      </c>
      <c r="D1" s="3" t="s">
        <v>1074</v>
      </c>
    </row>
    <row r="2" spans="1:4" x14ac:dyDescent="0.2">
      <c r="A2" s="2" t="s">
        <v>0</v>
      </c>
      <c r="B2" s="2"/>
      <c r="C2" s="2"/>
      <c r="D2" s="2"/>
    </row>
    <row r="3" spans="1:4" x14ac:dyDescent="0.2">
      <c r="A3" s="5" t="s">
        <v>6</v>
      </c>
      <c r="B3" s="3" t="s">
        <v>7</v>
      </c>
      <c r="C3" s="3" t="s">
        <v>7</v>
      </c>
      <c r="D3" s="5" t="s">
        <v>7</v>
      </c>
    </row>
    <row r="4" spans="1:4" x14ac:dyDescent="0.2">
      <c r="A4" s="5" t="s">
        <v>9</v>
      </c>
      <c r="B4" s="5"/>
      <c r="C4" s="5"/>
      <c r="D4" s="5"/>
    </row>
    <row r="5" spans="1:4" x14ac:dyDescent="0.2">
      <c r="A5" s="2" t="s">
        <v>10</v>
      </c>
      <c r="B5" s="1" t="s">
        <v>1075</v>
      </c>
      <c r="C5" s="1" t="s">
        <v>1076</v>
      </c>
      <c r="D5" s="1" t="s">
        <v>1077</v>
      </c>
    </row>
    <row r="6" spans="1:4" x14ac:dyDescent="0.2">
      <c r="B6" s="1">
        <v>1</v>
      </c>
      <c r="C6" s="1">
        <v>5880000</v>
      </c>
      <c r="D6" s="1">
        <v>58880000</v>
      </c>
    </row>
    <row r="7" spans="1:4" x14ac:dyDescent="0.2">
      <c r="B7" s="1">
        <v>2</v>
      </c>
      <c r="C7" s="1">
        <v>4880000</v>
      </c>
      <c r="D7" s="1">
        <v>38880000</v>
      </c>
    </row>
    <row r="8" spans="1:4" x14ac:dyDescent="0.2">
      <c r="B8" s="1">
        <v>3</v>
      </c>
      <c r="C8" s="1">
        <v>3880000</v>
      </c>
      <c r="D8" s="1">
        <v>18880000</v>
      </c>
    </row>
    <row r="9" spans="1:4" x14ac:dyDescent="0.2">
      <c r="B9" s="1">
        <v>4</v>
      </c>
      <c r="C9" s="1">
        <v>3500000</v>
      </c>
      <c r="D9" s="1">
        <v>8880000</v>
      </c>
    </row>
    <row r="10" spans="1:4" x14ac:dyDescent="0.2">
      <c r="B10" s="1">
        <v>5</v>
      </c>
      <c r="C10" s="1">
        <v>3000000</v>
      </c>
      <c r="D10" s="1">
        <v>6880000</v>
      </c>
    </row>
    <row r="11" spans="1:4" x14ac:dyDescent="0.2">
      <c r="B11" s="1">
        <v>6</v>
      </c>
      <c r="C11" s="1">
        <v>2500000</v>
      </c>
      <c r="D11" s="1">
        <v>5880000</v>
      </c>
    </row>
    <row r="12" spans="1:4" x14ac:dyDescent="0.2">
      <c r="B12" s="1">
        <v>7</v>
      </c>
      <c r="C12" s="1">
        <v>2000000</v>
      </c>
      <c r="D12" s="1">
        <v>3880000</v>
      </c>
    </row>
    <row r="13" spans="1:4" x14ac:dyDescent="0.2">
      <c r="B13" s="1">
        <v>8</v>
      </c>
      <c r="C13" s="1">
        <v>1500000</v>
      </c>
      <c r="D13" s="1">
        <v>2880000</v>
      </c>
    </row>
    <row r="14" spans="1:4" x14ac:dyDescent="0.2">
      <c r="B14" s="1">
        <v>9</v>
      </c>
      <c r="C14" s="1">
        <v>1000000</v>
      </c>
      <c r="D14" s="1">
        <v>1880000</v>
      </c>
    </row>
    <row r="15" spans="1:4" x14ac:dyDescent="0.2">
      <c r="B15" s="1">
        <v>10</v>
      </c>
      <c r="C15" s="1">
        <v>500000</v>
      </c>
      <c r="D15" s="1">
        <v>1380000</v>
      </c>
    </row>
    <row r="16" spans="1:4" x14ac:dyDescent="0.2">
      <c r="D16" s="1"/>
    </row>
  </sheetData>
  <phoneticPr fontId="12" type="noConversion"/>
  <pageMargins left="0.75" right="0.75" top="1" bottom="1" header="0.5" footer="0.5"/>
  <pageSetup paperSize="9" orientation="portrait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dimension ref="A1:J22"/>
  <sheetViews>
    <sheetView workbookViewId="0">
      <selection activeCell="I3" sqref="I3"/>
    </sheetView>
  </sheetViews>
  <sheetFormatPr defaultColWidth="9" defaultRowHeight="14.25" x14ac:dyDescent="0.2"/>
  <cols>
    <col min="1" max="1" width="9" style="1"/>
    <col min="2" max="3" width="15.375" style="1" customWidth="1"/>
    <col min="4" max="4" width="29" style="1" customWidth="1"/>
    <col min="5" max="5" width="22.125" style="1" customWidth="1"/>
    <col min="6" max="6" width="19.125" style="1" customWidth="1"/>
    <col min="7" max="7" width="18.25" style="1" customWidth="1"/>
    <col min="8" max="8" width="17.5" style="1" customWidth="1"/>
    <col min="9" max="9" width="39.5" style="1" customWidth="1"/>
    <col min="10" max="10" width="49.875" style="1" customWidth="1"/>
    <col min="11" max="16384" width="9" style="1"/>
  </cols>
  <sheetData>
    <row r="1" spans="1:10" x14ac:dyDescent="0.2">
      <c r="A1" s="2" t="s">
        <v>0</v>
      </c>
      <c r="B1" s="3" t="s">
        <v>1</v>
      </c>
      <c r="C1" s="3" t="s">
        <v>66</v>
      </c>
      <c r="D1" s="3" t="s">
        <v>68</v>
      </c>
      <c r="E1" s="3" t="s">
        <v>1078</v>
      </c>
      <c r="F1" s="3" t="s">
        <v>1079</v>
      </c>
      <c r="G1" s="3" t="s">
        <v>127</v>
      </c>
      <c r="H1" s="3" t="s">
        <v>1080</v>
      </c>
      <c r="I1" s="3" t="s">
        <v>1081</v>
      </c>
      <c r="J1" s="3" t="s">
        <v>1082</v>
      </c>
    </row>
    <row r="2" spans="1:10" x14ac:dyDescent="0.2">
      <c r="A2" s="2" t="s">
        <v>0</v>
      </c>
      <c r="B2" s="2"/>
      <c r="C2" s="2"/>
      <c r="D2" s="2"/>
      <c r="E2" s="2"/>
      <c r="F2" s="2"/>
      <c r="G2" s="2"/>
      <c r="H2" s="2"/>
      <c r="I2" s="2"/>
      <c r="J2" s="2"/>
    </row>
    <row r="3" spans="1:10" x14ac:dyDescent="0.2">
      <c r="A3" s="5" t="s">
        <v>6</v>
      </c>
      <c r="B3" s="3" t="s">
        <v>7</v>
      </c>
      <c r="C3" s="3" t="s">
        <v>8</v>
      </c>
      <c r="D3" s="3" t="s">
        <v>7</v>
      </c>
      <c r="E3" s="5" t="s">
        <v>7</v>
      </c>
      <c r="F3" s="5" t="s">
        <v>47</v>
      </c>
      <c r="G3" s="5" t="s">
        <v>7</v>
      </c>
      <c r="H3" s="5" t="s">
        <v>7</v>
      </c>
      <c r="I3" s="18" t="s">
        <v>83</v>
      </c>
      <c r="J3" s="18" t="s">
        <v>83</v>
      </c>
    </row>
    <row r="4" spans="1:10" x14ac:dyDescent="0.2">
      <c r="A4" s="5" t="s">
        <v>9</v>
      </c>
      <c r="B4" s="5"/>
      <c r="C4" s="5"/>
      <c r="D4" s="5"/>
      <c r="E4" s="5"/>
      <c r="F4" s="5"/>
      <c r="G4" s="5"/>
      <c r="H4" s="5"/>
      <c r="I4" s="5"/>
      <c r="J4" s="5"/>
    </row>
    <row r="5" spans="1:10" x14ac:dyDescent="0.2">
      <c r="A5" s="2" t="s">
        <v>10</v>
      </c>
      <c r="B5" s="1" t="s">
        <v>412</v>
      </c>
      <c r="C5" s="1" t="s">
        <v>640</v>
      </c>
      <c r="D5" s="1" t="s">
        <v>796</v>
      </c>
      <c r="E5" s="1" t="s">
        <v>1083</v>
      </c>
      <c r="F5" s="1" t="s">
        <v>1084</v>
      </c>
      <c r="G5" s="1" t="s">
        <v>1085</v>
      </c>
      <c r="H5" s="1" t="s">
        <v>1086</v>
      </c>
      <c r="I5" s="1" t="s">
        <v>1087</v>
      </c>
      <c r="J5" s="1" t="s">
        <v>1088</v>
      </c>
    </row>
    <row r="6" spans="1:10" x14ac:dyDescent="0.2">
      <c r="B6" s="1">
        <v>40001</v>
      </c>
      <c r="C6" s="1" t="s">
        <v>721</v>
      </c>
      <c r="D6" s="1">
        <v>7560000</v>
      </c>
      <c r="E6" s="1">
        <v>880000</v>
      </c>
      <c r="F6" s="1">
        <v>2200000000</v>
      </c>
      <c r="G6" s="1">
        <v>88</v>
      </c>
      <c r="H6" s="1">
        <v>168</v>
      </c>
      <c r="I6" s="6" t="s">
        <v>1089</v>
      </c>
      <c r="J6" s="6" t="s">
        <v>1090</v>
      </c>
    </row>
    <row r="7" spans="1:10" x14ac:dyDescent="0.2">
      <c r="B7" s="1">
        <v>40002</v>
      </c>
      <c r="C7" s="1" t="s">
        <v>722</v>
      </c>
      <c r="D7" s="1">
        <v>34000000</v>
      </c>
      <c r="E7" s="1">
        <v>3880000</v>
      </c>
      <c r="F7" s="1">
        <v>9700000000</v>
      </c>
      <c r="G7" s="1">
        <v>388</v>
      </c>
      <c r="H7" s="1">
        <v>168</v>
      </c>
      <c r="I7" s="6" t="s">
        <v>1089</v>
      </c>
      <c r="J7" s="6" t="s">
        <v>1091</v>
      </c>
    </row>
    <row r="8" spans="1:10" x14ac:dyDescent="0.2">
      <c r="B8" s="1">
        <v>40003</v>
      </c>
      <c r="C8" s="1" t="s">
        <v>723</v>
      </c>
      <c r="D8" s="1">
        <v>81700000</v>
      </c>
      <c r="E8" s="1">
        <v>8880000</v>
      </c>
      <c r="F8" s="1">
        <v>22200000000</v>
      </c>
      <c r="G8" s="1">
        <v>888</v>
      </c>
      <c r="H8" s="1">
        <v>168</v>
      </c>
      <c r="I8" s="6" t="s">
        <v>1089</v>
      </c>
      <c r="J8" s="6" t="s">
        <v>1092</v>
      </c>
    </row>
    <row r="9" spans="1:10" x14ac:dyDescent="0.2">
      <c r="B9" s="1">
        <v>40004</v>
      </c>
      <c r="C9" s="1" t="s">
        <v>724</v>
      </c>
      <c r="D9" s="1">
        <v>120520000</v>
      </c>
      <c r="E9" s="1">
        <v>12960000</v>
      </c>
      <c r="F9" s="1">
        <v>32400000000</v>
      </c>
      <c r="G9" s="1">
        <v>1296</v>
      </c>
      <c r="H9" s="1">
        <v>168</v>
      </c>
      <c r="I9" s="6" t="s">
        <v>1089</v>
      </c>
      <c r="J9" s="6" t="s">
        <v>1093</v>
      </c>
    </row>
    <row r="21" spans="9:9" x14ac:dyDescent="0.2">
      <c r="I21" s="11"/>
    </row>
    <row r="22" spans="9:9" x14ac:dyDescent="0.2">
      <c r="I22" s="6"/>
    </row>
  </sheetData>
  <phoneticPr fontId="12" type="noConversion"/>
  <pageMargins left="0.75" right="0.75" top="1" bottom="1" header="0.5" footer="0.5"/>
  <pageSetup paperSize="9" orientation="portrait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dimension ref="A1:F8"/>
  <sheetViews>
    <sheetView workbookViewId="0">
      <selection activeCell="L15" sqref="L15"/>
    </sheetView>
  </sheetViews>
  <sheetFormatPr defaultColWidth="9" defaultRowHeight="14.25" x14ac:dyDescent="0.2"/>
  <cols>
    <col min="3" max="3" width="13.25" customWidth="1"/>
    <col min="4" max="4" width="14" customWidth="1"/>
    <col min="5" max="5" width="12.75" customWidth="1"/>
    <col min="7" max="7" width="9.375"/>
  </cols>
  <sheetData>
    <row r="1" spans="1:6" x14ac:dyDescent="0.2">
      <c r="A1" s="2" t="s">
        <v>0</v>
      </c>
      <c r="B1" s="3" t="s">
        <v>1</v>
      </c>
      <c r="C1" s="3" t="s">
        <v>66</v>
      </c>
      <c r="D1" s="3" t="s">
        <v>68</v>
      </c>
      <c r="E1" s="3" t="s">
        <v>1078</v>
      </c>
      <c r="F1" s="3" t="s">
        <v>127</v>
      </c>
    </row>
    <row r="2" spans="1:6" x14ac:dyDescent="0.2">
      <c r="A2" s="2" t="s">
        <v>0</v>
      </c>
      <c r="B2" s="2"/>
      <c r="C2" s="2"/>
      <c r="D2" s="2"/>
      <c r="E2" s="2"/>
      <c r="F2" s="2"/>
    </row>
    <row r="3" spans="1:6" x14ac:dyDescent="0.2">
      <c r="A3" s="5" t="s">
        <v>6</v>
      </c>
      <c r="B3" s="3" t="s">
        <v>7</v>
      </c>
      <c r="C3" s="3" t="s">
        <v>8</v>
      </c>
      <c r="D3" s="3" t="s">
        <v>7</v>
      </c>
      <c r="E3" s="5" t="s">
        <v>7</v>
      </c>
      <c r="F3" s="5" t="s">
        <v>7</v>
      </c>
    </row>
    <row r="4" spans="1:6" x14ac:dyDescent="0.2">
      <c r="A4" s="5" t="s">
        <v>9</v>
      </c>
      <c r="B4" s="5"/>
      <c r="C4" s="5"/>
      <c r="D4" s="5"/>
      <c r="E4" s="5"/>
      <c r="F4" s="5"/>
    </row>
    <row r="5" spans="1:6" x14ac:dyDescent="0.2">
      <c r="A5" s="2" t="s">
        <v>10</v>
      </c>
      <c r="B5" s="1" t="s">
        <v>412</v>
      </c>
      <c r="C5" s="1" t="s">
        <v>640</v>
      </c>
      <c r="D5" s="1" t="s">
        <v>796</v>
      </c>
      <c r="E5" s="1" t="s">
        <v>1094</v>
      </c>
      <c r="F5" s="1" t="s">
        <v>1085</v>
      </c>
    </row>
    <row r="6" spans="1:6" x14ac:dyDescent="0.2">
      <c r="A6" s="1"/>
      <c r="B6" s="1">
        <v>341</v>
      </c>
      <c r="C6" s="1" t="s">
        <v>725</v>
      </c>
      <c r="D6" s="1">
        <v>360000</v>
      </c>
      <c r="E6" s="1">
        <v>1</v>
      </c>
      <c r="F6" s="1">
        <v>6</v>
      </c>
    </row>
    <row r="7" spans="1:6" x14ac:dyDescent="0.2">
      <c r="A7" s="1"/>
      <c r="B7" s="1">
        <v>342</v>
      </c>
      <c r="C7" s="1" t="s">
        <v>726</v>
      </c>
      <c r="D7" s="1">
        <v>7920000</v>
      </c>
      <c r="E7" s="1">
        <v>22</v>
      </c>
      <c r="F7" s="1">
        <v>132</v>
      </c>
    </row>
    <row r="8" spans="1:6" x14ac:dyDescent="0.2">
      <c r="A8" s="1"/>
      <c r="B8" s="1">
        <v>343</v>
      </c>
      <c r="C8" s="1" t="s">
        <v>727</v>
      </c>
      <c r="D8" s="1">
        <v>39960000</v>
      </c>
      <c r="E8" s="1">
        <v>120</v>
      </c>
      <c r="F8" s="1">
        <v>666</v>
      </c>
    </row>
  </sheetData>
  <phoneticPr fontId="12" type="noConversion"/>
  <pageMargins left="0.75" right="0.75" top="1" bottom="1" header="0.5" footer="0.5"/>
  <pageSetup paperSize="9" orientation="portrait"/>
</worksheet>
</file>

<file path=xl/worksheets/sheet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900-000000000000}">
  <dimension ref="A1:F41"/>
  <sheetViews>
    <sheetView workbookViewId="0">
      <selection activeCell="F35" sqref="F35"/>
    </sheetView>
  </sheetViews>
  <sheetFormatPr defaultColWidth="9" defaultRowHeight="14.25" x14ac:dyDescent="0.2"/>
  <cols>
    <col min="3" max="3" width="12.875" customWidth="1"/>
    <col min="4" max="4" width="17.25" customWidth="1"/>
    <col min="5" max="5" width="26.125" customWidth="1"/>
    <col min="6" max="6" width="50" customWidth="1"/>
    <col min="7" max="7" width="9.375"/>
  </cols>
  <sheetData>
    <row r="1" spans="1:6" x14ac:dyDescent="0.2">
      <c r="A1" s="2" t="s">
        <v>0</v>
      </c>
      <c r="B1" s="3" t="s">
        <v>1</v>
      </c>
      <c r="C1" s="3" t="s">
        <v>52</v>
      </c>
      <c r="D1" s="3" t="s">
        <v>3</v>
      </c>
      <c r="E1" s="3" t="s">
        <v>259</v>
      </c>
      <c r="F1" s="3" t="s">
        <v>33</v>
      </c>
    </row>
    <row r="2" spans="1:6" x14ac:dyDescent="0.2">
      <c r="A2" s="2" t="s">
        <v>0</v>
      </c>
      <c r="B2" s="2"/>
      <c r="C2" s="2"/>
      <c r="D2" s="2"/>
      <c r="E2" s="2"/>
      <c r="F2" s="2"/>
    </row>
    <row r="3" spans="1:6" x14ac:dyDescent="0.2">
      <c r="A3" s="5" t="s">
        <v>6</v>
      </c>
      <c r="B3" s="3" t="s">
        <v>7</v>
      </c>
      <c r="C3" s="3" t="s">
        <v>7</v>
      </c>
      <c r="D3" s="5" t="s">
        <v>7</v>
      </c>
      <c r="E3" s="5" t="s">
        <v>7</v>
      </c>
      <c r="F3" s="5" t="s">
        <v>7</v>
      </c>
    </row>
    <row r="4" spans="1:6" x14ac:dyDescent="0.2">
      <c r="A4" s="5" t="s">
        <v>9</v>
      </c>
      <c r="B4" s="5"/>
      <c r="C4" s="5"/>
      <c r="D4" s="5"/>
      <c r="E4" s="5"/>
      <c r="F4" s="5"/>
    </row>
    <row r="5" spans="1:6" x14ac:dyDescent="0.2">
      <c r="A5" s="2" t="s">
        <v>10</v>
      </c>
      <c r="B5" s="1" t="s">
        <v>953</v>
      </c>
      <c r="C5" s="1" t="s">
        <v>256</v>
      </c>
      <c r="D5" s="1" t="s">
        <v>1048</v>
      </c>
      <c r="E5" s="1" t="s">
        <v>257</v>
      </c>
      <c r="F5" s="1" t="s">
        <v>1049</v>
      </c>
    </row>
    <row r="6" spans="1:6" x14ac:dyDescent="0.2">
      <c r="B6" s="1">
        <v>100</v>
      </c>
      <c r="C6" s="1">
        <v>1</v>
      </c>
      <c r="D6" s="1">
        <v>10002</v>
      </c>
      <c r="E6" s="1">
        <v>20000000</v>
      </c>
      <c r="F6" s="1">
        <v>1</v>
      </c>
    </row>
    <row r="7" spans="1:6" x14ac:dyDescent="0.2">
      <c r="B7" s="1">
        <v>101</v>
      </c>
      <c r="C7" s="1">
        <v>2</v>
      </c>
      <c r="D7" s="1">
        <v>10002</v>
      </c>
      <c r="E7" s="1">
        <v>7760000</v>
      </c>
      <c r="F7" s="1">
        <v>3</v>
      </c>
    </row>
    <row r="8" spans="1:6" x14ac:dyDescent="0.2">
      <c r="B8" s="1">
        <v>102</v>
      </c>
      <c r="C8" s="1">
        <v>2</v>
      </c>
      <c r="D8" s="1">
        <v>10002</v>
      </c>
      <c r="E8" s="1">
        <v>2560000</v>
      </c>
      <c r="F8" s="1">
        <v>5</v>
      </c>
    </row>
    <row r="9" spans="1:6" x14ac:dyDescent="0.2">
      <c r="B9" s="1">
        <v>103</v>
      </c>
      <c r="C9" s="1">
        <v>2</v>
      </c>
      <c r="D9" s="1">
        <v>10000</v>
      </c>
      <c r="E9" s="1">
        <v>5000</v>
      </c>
      <c r="F9" s="1">
        <v>7</v>
      </c>
    </row>
    <row r="10" spans="1:6" x14ac:dyDescent="0.2">
      <c r="B10" s="1">
        <v>104</v>
      </c>
      <c r="C10" s="1">
        <v>2</v>
      </c>
      <c r="D10" s="1">
        <v>10000</v>
      </c>
      <c r="E10" s="1">
        <v>4000</v>
      </c>
      <c r="F10" s="1">
        <v>9</v>
      </c>
    </row>
    <row r="11" spans="1:6" x14ac:dyDescent="0.2">
      <c r="B11" s="1">
        <v>105</v>
      </c>
      <c r="C11" s="1">
        <v>3</v>
      </c>
      <c r="D11" s="1">
        <v>10002</v>
      </c>
      <c r="E11" s="1">
        <v>1160000</v>
      </c>
      <c r="F11" s="1">
        <v>12</v>
      </c>
    </row>
    <row r="12" spans="1:6" x14ac:dyDescent="0.2">
      <c r="B12" s="1">
        <v>106</v>
      </c>
      <c r="C12" s="1">
        <v>3</v>
      </c>
      <c r="D12" s="1">
        <v>10002</v>
      </c>
      <c r="E12" s="1">
        <v>360000</v>
      </c>
      <c r="F12" s="1">
        <v>20</v>
      </c>
    </row>
    <row r="13" spans="1:6" x14ac:dyDescent="0.2">
      <c r="B13" s="1">
        <v>107</v>
      </c>
      <c r="C13" s="1">
        <v>3</v>
      </c>
      <c r="D13" s="1">
        <v>10000</v>
      </c>
      <c r="E13" s="1">
        <v>600</v>
      </c>
      <c r="F13" s="1">
        <v>30</v>
      </c>
    </row>
    <row r="14" spans="1:6" x14ac:dyDescent="0.2">
      <c r="B14" s="1">
        <v>108</v>
      </c>
      <c r="C14" s="1">
        <v>3</v>
      </c>
      <c r="D14" s="1">
        <v>10000</v>
      </c>
      <c r="E14" s="1">
        <v>500</v>
      </c>
      <c r="F14" s="1">
        <v>50</v>
      </c>
    </row>
    <row r="15" spans="1:6" x14ac:dyDescent="0.2">
      <c r="B15" s="1">
        <v>109</v>
      </c>
      <c r="C15" s="1">
        <v>3</v>
      </c>
      <c r="D15" s="17">
        <v>2001</v>
      </c>
      <c r="E15" s="17">
        <v>18</v>
      </c>
      <c r="F15" s="17">
        <v>55</v>
      </c>
    </row>
    <row r="16" spans="1:6" x14ac:dyDescent="0.2">
      <c r="B16" s="1">
        <v>110</v>
      </c>
      <c r="C16" s="1">
        <v>4</v>
      </c>
      <c r="D16" s="1">
        <v>10002</v>
      </c>
      <c r="E16" s="1">
        <v>100000</v>
      </c>
      <c r="F16" s="1">
        <v>160</v>
      </c>
    </row>
    <row r="17" spans="2:6" x14ac:dyDescent="0.2">
      <c r="B17" s="1">
        <v>111</v>
      </c>
      <c r="C17" s="1">
        <v>4</v>
      </c>
      <c r="D17" s="1">
        <v>10002</v>
      </c>
      <c r="E17" s="1">
        <v>40000</v>
      </c>
      <c r="F17" s="1">
        <v>160</v>
      </c>
    </row>
    <row r="18" spans="2:6" x14ac:dyDescent="0.2">
      <c r="B18" s="1">
        <v>112</v>
      </c>
      <c r="C18" s="1">
        <v>4</v>
      </c>
      <c r="D18" s="1">
        <v>10000</v>
      </c>
      <c r="E18" s="1">
        <v>200</v>
      </c>
      <c r="F18" s="1">
        <v>160</v>
      </c>
    </row>
    <row r="19" spans="2:6" x14ac:dyDescent="0.2">
      <c r="B19" s="1">
        <v>113</v>
      </c>
      <c r="C19" s="1">
        <v>4</v>
      </c>
      <c r="D19" s="1">
        <v>10000</v>
      </c>
      <c r="E19" s="1">
        <v>100</v>
      </c>
      <c r="F19" s="1">
        <v>160</v>
      </c>
    </row>
    <row r="20" spans="2:6" x14ac:dyDescent="0.2">
      <c r="B20" s="1">
        <v>114</v>
      </c>
      <c r="C20" s="1">
        <v>4</v>
      </c>
      <c r="D20" s="17">
        <v>2001</v>
      </c>
      <c r="E20" s="17">
        <v>8</v>
      </c>
      <c r="F20" s="17">
        <v>168</v>
      </c>
    </row>
    <row r="21" spans="2:6" x14ac:dyDescent="0.2">
      <c r="B21" s="1"/>
      <c r="C21" s="1"/>
      <c r="D21" s="1"/>
      <c r="E21" s="1"/>
      <c r="F21" s="1"/>
    </row>
    <row r="22" spans="2:6" x14ac:dyDescent="0.2">
      <c r="B22" s="1"/>
      <c r="C22" s="1"/>
      <c r="D22" s="1"/>
      <c r="E22" s="1"/>
      <c r="F22" s="1"/>
    </row>
    <row r="23" spans="2:6" x14ac:dyDescent="0.2">
      <c r="B23" s="1"/>
      <c r="C23" s="1"/>
      <c r="D23" s="1"/>
      <c r="E23" s="1"/>
      <c r="F23" s="1"/>
    </row>
    <row r="24" spans="2:6" x14ac:dyDescent="0.2">
      <c r="B24" s="1"/>
      <c r="C24" s="1"/>
      <c r="D24" s="1"/>
      <c r="E24" s="1"/>
      <c r="F24" s="1"/>
    </row>
    <row r="25" spans="2:6" x14ac:dyDescent="0.2">
      <c r="B25" s="1"/>
      <c r="C25" s="1"/>
      <c r="D25" s="1"/>
      <c r="E25" s="1"/>
      <c r="F25" s="1"/>
    </row>
    <row r="26" spans="2:6" x14ac:dyDescent="0.2">
      <c r="B26" s="1"/>
      <c r="C26" s="1"/>
      <c r="D26" s="1"/>
      <c r="E26" s="1"/>
      <c r="F26" s="1"/>
    </row>
    <row r="27" spans="2:6" x14ac:dyDescent="0.2">
      <c r="B27" s="1"/>
      <c r="C27" s="1"/>
      <c r="D27" s="1"/>
      <c r="E27" s="1"/>
      <c r="F27" s="1"/>
    </row>
    <row r="28" spans="2:6" x14ac:dyDescent="0.2">
      <c r="B28" s="1"/>
      <c r="C28" s="1"/>
      <c r="D28" s="1"/>
      <c r="E28" s="1"/>
      <c r="F28" s="1"/>
    </row>
    <row r="29" spans="2:6" x14ac:dyDescent="0.2">
      <c r="B29" s="1"/>
      <c r="C29" s="1"/>
      <c r="D29" s="1"/>
      <c r="E29" s="1"/>
      <c r="F29" s="1"/>
    </row>
    <row r="30" spans="2:6" x14ac:dyDescent="0.2">
      <c r="B30" s="1"/>
      <c r="C30" s="1"/>
      <c r="D30" s="1"/>
      <c r="E30" s="1"/>
      <c r="F30" s="1"/>
    </row>
    <row r="31" spans="2:6" x14ac:dyDescent="0.2">
      <c r="B31" s="1"/>
      <c r="C31" s="1"/>
      <c r="D31" s="1"/>
      <c r="E31" s="1"/>
      <c r="F31" s="1"/>
    </row>
    <row r="32" spans="2:6" x14ac:dyDescent="0.2">
      <c r="B32" s="1"/>
      <c r="C32" s="1"/>
      <c r="D32" s="1"/>
      <c r="E32" s="1"/>
      <c r="F32" s="1"/>
    </row>
    <row r="33" spans="2:6" x14ac:dyDescent="0.2">
      <c r="B33" s="1"/>
      <c r="C33" s="1"/>
      <c r="D33" s="1"/>
      <c r="E33" s="1"/>
      <c r="F33" s="1"/>
    </row>
    <row r="34" spans="2:6" x14ac:dyDescent="0.2">
      <c r="B34" s="1"/>
      <c r="C34" s="1"/>
      <c r="D34" s="1"/>
      <c r="E34" s="1"/>
      <c r="F34" s="1"/>
    </row>
    <row r="35" spans="2:6" x14ac:dyDescent="0.2">
      <c r="B35" s="1"/>
      <c r="C35" s="1"/>
      <c r="D35" s="1"/>
      <c r="E35" s="1"/>
      <c r="F35" s="1"/>
    </row>
    <row r="36" spans="2:6" x14ac:dyDescent="0.2">
      <c r="B36" s="1"/>
      <c r="C36" s="1"/>
      <c r="D36" s="1"/>
      <c r="E36" s="1"/>
      <c r="F36" s="1"/>
    </row>
    <row r="37" spans="2:6" x14ac:dyDescent="0.2">
      <c r="B37" s="1"/>
      <c r="C37" s="1"/>
      <c r="D37" s="1"/>
      <c r="E37" s="1"/>
      <c r="F37" s="1"/>
    </row>
    <row r="38" spans="2:6" x14ac:dyDescent="0.2">
      <c r="B38" s="1"/>
      <c r="C38" s="1"/>
      <c r="D38" s="1"/>
      <c r="E38" s="1"/>
      <c r="F38" s="1"/>
    </row>
    <row r="39" spans="2:6" x14ac:dyDescent="0.2">
      <c r="B39" s="1"/>
      <c r="C39" s="1"/>
      <c r="D39" s="1"/>
      <c r="E39" s="1"/>
      <c r="F39" s="1"/>
    </row>
    <row r="40" spans="2:6" x14ac:dyDescent="0.2">
      <c r="B40" s="1"/>
      <c r="C40" s="1"/>
      <c r="D40" s="1"/>
      <c r="E40" s="1"/>
      <c r="F40" s="1"/>
    </row>
    <row r="41" spans="2:6" x14ac:dyDescent="0.2">
      <c r="B41" s="1"/>
      <c r="C41" s="1"/>
      <c r="D41" s="1"/>
      <c r="E41" s="1"/>
      <c r="F41" s="1"/>
    </row>
  </sheetData>
  <phoneticPr fontId="12" type="noConversion"/>
  <pageMargins left="0.75" right="0.75" top="1" bottom="1" header="0.5" footer="0.5"/>
  <pageSetup paperSize="9" orientation="portrait"/>
  <legacyDrawing r:id="rId1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A00-000000000000}">
  <dimension ref="A1:C28"/>
  <sheetViews>
    <sheetView workbookViewId="0">
      <selection activeCell="E7" sqref="E7"/>
    </sheetView>
  </sheetViews>
  <sheetFormatPr defaultColWidth="9" defaultRowHeight="14.25" x14ac:dyDescent="0.2"/>
  <cols>
    <col min="3" max="3" width="21.625" customWidth="1"/>
  </cols>
  <sheetData>
    <row r="1" spans="1:3" x14ac:dyDescent="0.2">
      <c r="A1" s="2" t="s">
        <v>0</v>
      </c>
      <c r="B1" s="3" t="s">
        <v>1</v>
      </c>
      <c r="C1" s="3" t="s">
        <v>1073</v>
      </c>
    </row>
    <row r="2" spans="1:3" x14ac:dyDescent="0.2">
      <c r="A2" s="2" t="s">
        <v>0</v>
      </c>
      <c r="B2" s="2"/>
      <c r="C2" s="2"/>
    </row>
    <row r="3" spans="1:3" x14ac:dyDescent="0.2">
      <c r="A3" s="5" t="s">
        <v>6</v>
      </c>
      <c r="B3" s="3" t="s">
        <v>7</v>
      </c>
      <c r="C3" s="3" t="s">
        <v>7</v>
      </c>
    </row>
    <row r="4" spans="1:3" x14ac:dyDescent="0.2">
      <c r="A4" s="5" t="s">
        <v>9</v>
      </c>
      <c r="B4" s="5"/>
      <c r="C4" s="5"/>
    </row>
    <row r="5" spans="1:3" x14ac:dyDescent="0.2">
      <c r="A5" s="2" t="s">
        <v>10</v>
      </c>
      <c r="B5" s="1" t="s">
        <v>1075</v>
      </c>
      <c r="C5" s="1" t="s">
        <v>1095</v>
      </c>
    </row>
    <row r="6" spans="1:3" x14ac:dyDescent="0.2">
      <c r="B6" s="1">
        <v>1</v>
      </c>
      <c r="C6" s="1">
        <v>40000000</v>
      </c>
    </row>
    <row r="7" spans="1:3" x14ac:dyDescent="0.2">
      <c r="B7" s="1">
        <v>2</v>
      </c>
      <c r="C7" s="1">
        <v>20000000</v>
      </c>
    </row>
    <row r="8" spans="1:3" x14ac:dyDescent="0.2">
      <c r="B8" s="1">
        <v>3</v>
      </c>
      <c r="C8" s="1">
        <v>12000000</v>
      </c>
    </row>
    <row r="9" spans="1:3" x14ac:dyDescent="0.2">
      <c r="B9" s="1">
        <v>4</v>
      </c>
      <c r="C9" s="1">
        <v>9000000</v>
      </c>
    </row>
    <row r="10" spans="1:3" x14ac:dyDescent="0.2">
      <c r="B10" s="1">
        <v>5</v>
      </c>
      <c r="C10" s="1">
        <v>9000000</v>
      </c>
    </row>
    <row r="11" spans="1:3" x14ac:dyDescent="0.2">
      <c r="B11" s="1">
        <v>6</v>
      </c>
      <c r="C11" s="1">
        <v>6000000</v>
      </c>
    </row>
    <row r="12" spans="1:3" x14ac:dyDescent="0.2">
      <c r="B12" s="1">
        <v>7</v>
      </c>
      <c r="C12" s="1">
        <v>6000000</v>
      </c>
    </row>
    <row r="13" spans="1:3" x14ac:dyDescent="0.2">
      <c r="B13" s="1">
        <v>8</v>
      </c>
      <c r="C13" s="1">
        <v>6000000</v>
      </c>
    </row>
    <row r="14" spans="1:3" x14ac:dyDescent="0.2">
      <c r="B14" s="1">
        <v>9</v>
      </c>
      <c r="C14" s="1">
        <v>6000000</v>
      </c>
    </row>
    <row r="15" spans="1:3" x14ac:dyDescent="0.2">
      <c r="B15" s="1">
        <v>10</v>
      </c>
      <c r="C15" s="1">
        <v>6000000</v>
      </c>
    </row>
    <row r="16" spans="1:3" x14ac:dyDescent="0.2">
      <c r="B16" s="1">
        <v>11</v>
      </c>
      <c r="C16" s="1">
        <v>3000000</v>
      </c>
    </row>
    <row r="17" spans="2:3" x14ac:dyDescent="0.2">
      <c r="B17" s="1">
        <v>12</v>
      </c>
      <c r="C17" s="1">
        <v>3000000</v>
      </c>
    </row>
    <row r="18" spans="2:3" x14ac:dyDescent="0.2">
      <c r="B18" s="1">
        <v>13</v>
      </c>
      <c r="C18" s="1">
        <v>3000000</v>
      </c>
    </row>
    <row r="19" spans="2:3" x14ac:dyDescent="0.2">
      <c r="B19" s="1">
        <v>14</v>
      </c>
      <c r="C19" s="1">
        <v>3000000</v>
      </c>
    </row>
    <row r="20" spans="2:3" x14ac:dyDescent="0.2">
      <c r="B20" s="1">
        <v>15</v>
      </c>
      <c r="C20" s="1">
        <v>3000000</v>
      </c>
    </row>
    <row r="21" spans="2:3" x14ac:dyDescent="0.2">
      <c r="B21" s="1">
        <v>16</v>
      </c>
      <c r="C21" s="1">
        <v>2000000</v>
      </c>
    </row>
    <row r="22" spans="2:3" x14ac:dyDescent="0.2">
      <c r="B22" s="1">
        <v>17</v>
      </c>
      <c r="C22" s="1">
        <v>2000000</v>
      </c>
    </row>
    <row r="23" spans="2:3" x14ac:dyDescent="0.2">
      <c r="B23" s="1">
        <v>18</v>
      </c>
      <c r="C23" s="1">
        <v>2000000</v>
      </c>
    </row>
    <row r="24" spans="2:3" x14ac:dyDescent="0.2">
      <c r="B24" s="1">
        <v>19</v>
      </c>
      <c r="C24" s="1">
        <v>2000000</v>
      </c>
    </row>
    <row r="25" spans="2:3" x14ac:dyDescent="0.2">
      <c r="B25" s="1">
        <v>20</v>
      </c>
      <c r="C25" s="1">
        <v>2000000</v>
      </c>
    </row>
    <row r="26" spans="2:3" x14ac:dyDescent="0.2">
      <c r="B26" s="1"/>
    </row>
    <row r="27" spans="2:3" x14ac:dyDescent="0.2">
      <c r="B27" s="1"/>
    </row>
    <row r="28" spans="2:3" x14ac:dyDescent="0.2">
      <c r="B28" s="1"/>
    </row>
  </sheetData>
  <phoneticPr fontId="12" type="noConversion"/>
  <pageMargins left="0.75" right="0.75" top="1" bottom="1" header="0.5" footer="0.5"/>
  <pageSetup paperSize="9" orientation="portrait"/>
</worksheet>
</file>

<file path=xl/worksheets/sheet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B00-000000000000}">
  <dimension ref="A1:I28"/>
  <sheetViews>
    <sheetView workbookViewId="0">
      <selection activeCell="N20" sqref="N20"/>
    </sheetView>
  </sheetViews>
  <sheetFormatPr defaultColWidth="9" defaultRowHeight="14.25" x14ac:dyDescent="0.2"/>
  <cols>
    <col min="1" max="3" width="9" style="1"/>
    <col min="4" max="4" width="9.375" style="1"/>
    <col min="5" max="16384" width="9" style="1"/>
  </cols>
  <sheetData>
    <row r="1" spans="1:9" x14ac:dyDescent="0.2">
      <c r="A1" s="2" t="s">
        <v>0</v>
      </c>
      <c r="B1" s="3" t="s">
        <v>1</v>
      </c>
      <c r="C1" s="3" t="s">
        <v>1096</v>
      </c>
      <c r="D1" s="3" t="s">
        <v>3</v>
      </c>
      <c r="E1" s="3" t="s">
        <v>259</v>
      </c>
      <c r="F1" s="3" t="s">
        <v>33</v>
      </c>
    </row>
    <row r="2" spans="1:9" x14ac:dyDescent="0.2">
      <c r="A2" s="2" t="s">
        <v>0</v>
      </c>
      <c r="B2" s="2"/>
      <c r="C2" s="2"/>
      <c r="D2" s="2"/>
      <c r="E2" s="2"/>
      <c r="F2" s="2"/>
    </row>
    <row r="3" spans="1:9" x14ac:dyDescent="0.2">
      <c r="A3" s="5" t="s">
        <v>6</v>
      </c>
      <c r="B3" s="3" t="s">
        <v>7</v>
      </c>
      <c r="C3" s="3" t="s">
        <v>7</v>
      </c>
      <c r="D3" s="5" t="s">
        <v>7</v>
      </c>
      <c r="E3" s="5" t="s">
        <v>7</v>
      </c>
      <c r="F3" s="5" t="s">
        <v>7</v>
      </c>
    </row>
    <row r="4" spans="1:9" x14ac:dyDescent="0.2">
      <c r="A4" s="5" t="s">
        <v>9</v>
      </c>
      <c r="B4" s="5"/>
      <c r="C4" s="5"/>
      <c r="D4" s="5"/>
      <c r="E4" s="5"/>
      <c r="F4" s="5"/>
    </row>
    <row r="5" spans="1:9" x14ac:dyDescent="0.2">
      <c r="A5" s="2" t="s">
        <v>10</v>
      </c>
      <c r="B5" s="1" t="s">
        <v>953</v>
      </c>
      <c r="C5" s="1" t="s">
        <v>1097</v>
      </c>
      <c r="D5" s="1" t="s">
        <v>1048</v>
      </c>
      <c r="E5" s="1" t="s">
        <v>257</v>
      </c>
      <c r="F5" s="1" t="s">
        <v>666</v>
      </c>
      <c r="I5" s="1" t="s">
        <v>1098</v>
      </c>
    </row>
    <row r="6" spans="1:9" x14ac:dyDescent="0.2">
      <c r="B6" s="1">
        <v>100</v>
      </c>
      <c r="C6" s="13">
        <v>1</v>
      </c>
      <c r="D6" s="13">
        <v>10002</v>
      </c>
      <c r="E6" s="1">
        <v>43200</v>
      </c>
      <c r="F6" s="13">
        <v>12</v>
      </c>
      <c r="I6" s="13">
        <v>7200</v>
      </c>
    </row>
    <row r="7" spans="1:9" x14ac:dyDescent="0.2">
      <c r="B7" s="1">
        <v>101</v>
      </c>
      <c r="C7" s="13">
        <v>2</v>
      </c>
      <c r="D7" s="13">
        <v>10002</v>
      </c>
      <c r="E7" s="1">
        <v>86400</v>
      </c>
      <c r="F7" s="13">
        <v>12</v>
      </c>
      <c r="I7" s="13">
        <v>14400</v>
      </c>
    </row>
    <row r="8" spans="1:9" x14ac:dyDescent="0.2">
      <c r="B8" s="1">
        <v>102</v>
      </c>
      <c r="C8" s="13">
        <v>3</v>
      </c>
      <c r="D8" s="13">
        <v>10002</v>
      </c>
      <c r="E8" s="1">
        <v>129600</v>
      </c>
      <c r="F8" s="13">
        <v>11</v>
      </c>
      <c r="I8" s="13">
        <v>21600</v>
      </c>
    </row>
    <row r="9" spans="1:9" x14ac:dyDescent="0.2">
      <c r="B9" s="1">
        <v>103</v>
      </c>
      <c r="C9" s="13">
        <v>4</v>
      </c>
      <c r="D9" s="13">
        <v>10002</v>
      </c>
      <c r="E9" s="1">
        <v>172800</v>
      </c>
      <c r="F9" s="13">
        <v>10</v>
      </c>
      <c r="I9" s="13">
        <v>28800</v>
      </c>
    </row>
    <row r="10" spans="1:9" x14ac:dyDescent="0.2">
      <c r="B10" s="1">
        <v>104</v>
      </c>
      <c r="C10" s="13">
        <v>5</v>
      </c>
      <c r="D10" s="13">
        <v>10002</v>
      </c>
      <c r="E10" s="1">
        <v>216000</v>
      </c>
      <c r="F10" s="13">
        <v>14</v>
      </c>
      <c r="I10" s="13">
        <v>36000</v>
      </c>
    </row>
    <row r="11" spans="1:9" x14ac:dyDescent="0.2">
      <c r="B11" s="1">
        <v>105</v>
      </c>
      <c r="C11" s="13">
        <v>6</v>
      </c>
      <c r="D11" s="13">
        <v>10002</v>
      </c>
      <c r="E11" s="1">
        <v>259200</v>
      </c>
      <c r="F11" s="13">
        <v>9</v>
      </c>
      <c r="I11" s="13">
        <v>43200</v>
      </c>
    </row>
    <row r="12" spans="1:9" x14ac:dyDescent="0.2">
      <c r="B12" s="1">
        <v>106</v>
      </c>
      <c r="C12" s="13">
        <v>7</v>
      </c>
      <c r="D12" s="13">
        <v>10002</v>
      </c>
      <c r="E12" s="1">
        <v>302400</v>
      </c>
      <c r="F12" s="13">
        <v>9</v>
      </c>
      <c r="I12" s="13">
        <v>50400</v>
      </c>
    </row>
    <row r="13" spans="1:9" x14ac:dyDescent="0.2">
      <c r="B13" s="1">
        <v>107</v>
      </c>
      <c r="C13" s="13">
        <v>8</v>
      </c>
      <c r="D13" s="13">
        <v>10002</v>
      </c>
      <c r="E13" s="1">
        <v>345600</v>
      </c>
      <c r="F13" s="13">
        <v>8</v>
      </c>
      <c r="I13" s="13">
        <v>57600</v>
      </c>
    </row>
    <row r="14" spans="1:9" x14ac:dyDescent="0.2">
      <c r="B14" s="1">
        <v>108</v>
      </c>
      <c r="C14" s="13">
        <v>9</v>
      </c>
      <c r="D14" s="13">
        <v>10002</v>
      </c>
      <c r="E14" s="1">
        <v>388800</v>
      </c>
      <c r="F14" s="13">
        <v>7</v>
      </c>
      <c r="I14" s="13">
        <v>64800</v>
      </c>
    </row>
    <row r="15" spans="1:9" x14ac:dyDescent="0.2">
      <c r="B15" s="1">
        <v>109</v>
      </c>
      <c r="C15" s="13">
        <v>10</v>
      </c>
      <c r="D15" s="13">
        <v>10002</v>
      </c>
      <c r="E15" s="1">
        <v>432000</v>
      </c>
      <c r="F15" s="13">
        <v>7</v>
      </c>
      <c r="I15" s="13">
        <v>72000</v>
      </c>
    </row>
    <row r="16" spans="1:9" x14ac:dyDescent="0.2">
      <c r="B16" s="1">
        <v>110</v>
      </c>
      <c r="C16" s="13">
        <v>100</v>
      </c>
      <c r="D16" s="13">
        <v>10002</v>
      </c>
      <c r="E16" s="1">
        <v>4320000</v>
      </c>
      <c r="F16" s="13">
        <v>1</v>
      </c>
      <c r="I16" s="13">
        <v>720000</v>
      </c>
    </row>
    <row r="19" spans="3:6" x14ac:dyDescent="0.2">
      <c r="C19" s="13"/>
      <c r="D19" s="16"/>
      <c r="E19" s="13"/>
      <c r="F19" s="13"/>
    </row>
    <row r="20" spans="3:6" x14ac:dyDescent="0.2">
      <c r="C20" s="13"/>
      <c r="D20" s="16"/>
      <c r="E20" s="13"/>
      <c r="F20" s="13"/>
    </row>
    <row r="21" spans="3:6" x14ac:dyDescent="0.2">
      <c r="C21" s="13"/>
      <c r="D21" s="16"/>
      <c r="E21" s="13"/>
      <c r="F21" s="13"/>
    </row>
    <row r="22" spans="3:6" x14ac:dyDescent="0.2">
      <c r="C22" s="13"/>
      <c r="D22" s="16"/>
      <c r="E22" s="13"/>
      <c r="F22" s="13"/>
    </row>
    <row r="23" spans="3:6" x14ac:dyDescent="0.2">
      <c r="C23" s="13"/>
      <c r="D23" s="16"/>
      <c r="E23" s="13"/>
      <c r="F23" s="13"/>
    </row>
    <row r="24" spans="3:6" x14ac:dyDescent="0.2">
      <c r="C24" s="13"/>
      <c r="D24" s="16"/>
      <c r="E24" s="13"/>
      <c r="F24" s="13"/>
    </row>
    <row r="25" spans="3:6" x14ac:dyDescent="0.2">
      <c r="C25" s="13"/>
      <c r="D25" s="16"/>
      <c r="E25" s="13"/>
      <c r="F25" s="13"/>
    </row>
    <row r="26" spans="3:6" x14ac:dyDescent="0.2">
      <c r="C26" s="13"/>
      <c r="D26" s="16"/>
      <c r="E26" s="13"/>
      <c r="F26" s="13"/>
    </row>
    <row r="27" spans="3:6" x14ac:dyDescent="0.2">
      <c r="C27" s="13"/>
      <c r="D27" s="16"/>
      <c r="E27" s="13"/>
      <c r="F27" s="13"/>
    </row>
    <row r="28" spans="3:6" x14ac:dyDescent="0.2">
      <c r="C28" s="13"/>
      <c r="D28" s="16"/>
      <c r="E28" s="13"/>
      <c r="F28" s="13"/>
    </row>
  </sheetData>
  <phoneticPr fontId="12" type="noConversion"/>
  <pageMargins left="0.75" right="0.75" top="1" bottom="1" header="0.5" footer="0.5"/>
  <pageSetup paperSize="9" orientation="portrait"/>
  <legacyDrawing r:id="rId1"/>
</worksheet>
</file>

<file path=xl/worksheets/sheet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C00-000000000000}">
  <dimension ref="A1:XFC33"/>
  <sheetViews>
    <sheetView workbookViewId="0">
      <selection activeCell="H6" sqref="H6"/>
    </sheetView>
  </sheetViews>
  <sheetFormatPr defaultColWidth="9" defaultRowHeight="14.25" x14ac:dyDescent="0.2"/>
  <cols>
    <col min="1" max="2" width="9" style="1"/>
    <col min="3" max="3" width="33.5" style="1" customWidth="1"/>
    <col min="4" max="4" width="26" style="1" customWidth="1"/>
    <col min="5" max="5" width="17.75" style="1" customWidth="1"/>
    <col min="6" max="6" width="14" style="1" customWidth="1"/>
    <col min="7" max="7" width="10.625" style="1" customWidth="1"/>
    <col min="8" max="16383" width="9" style="1"/>
  </cols>
  <sheetData>
    <row r="1" spans="1:7" x14ac:dyDescent="0.2">
      <c r="A1" s="2" t="s">
        <v>0</v>
      </c>
      <c r="B1" s="3" t="s">
        <v>1</v>
      </c>
      <c r="C1" s="3" t="s">
        <v>262</v>
      </c>
      <c r="D1" s="3" t="s">
        <v>32</v>
      </c>
      <c r="E1" s="3" t="s">
        <v>3</v>
      </c>
      <c r="F1" s="3" t="s">
        <v>1099</v>
      </c>
      <c r="G1" s="3" t="s">
        <v>1100</v>
      </c>
    </row>
    <row r="2" spans="1:7" x14ac:dyDescent="0.2">
      <c r="A2" s="2" t="s">
        <v>0</v>
      </c>
      <c r="B2" s="2"/>
      <c r="C2" s="2"/>
      <c r="D2" s="2"/>
      <c r="E2" s="2"/>
      <c r="F2" s="2"/>
      <c r="G2" s="2"/>
    </row>
    <row r="3" spans="1:7" x14ac:dyDescent="0.2">
      <c r="A3" s="5" t="s">
        <v>6</v>
      </c>
      <c r="B3" s="3" t="s">
        <v>7</v>
      </c>
      <c r="C3" s="3" t="s">
        <v>8</v>
      </c>
      <c r="D3" s="3" t="s">
        <v>47</v>
      </c>
      <c r="E3" s="3" t="s">
        <v>7</v>
      </c>
      <c r="F3" s="3" t="s">
        <v>47</v>
      </c>
      <c r="G3" s="3" t="s">
        <v>7</v>
      </c>
    </row>
    <row r="4" spans="1:7" x14ac:dyDescent="0.2">
      <c r="A4" s="5" t="s">
        <v>9</v>
      </c>
      <c r="B4" s="5"/>
      <c r="C4" s="5" t="s">
        <v>57</v>
      </c>
      <c r="D4" s="5"/>
      <c r="E4" s="5"/>
      <c r="F4" s="5"/>
      <c r="G4" s="5"/>
    </row>
    <row r="5" spans="1:7" x14ac:dyDescent="0.2">
      <c r="A5" s="2" t="s">
        <v>10</v>
      </c>
      <c r="B5" s="3" t="s">
        <v>264</v>
      </c>
      <c r="C5" s="3" t="s">
        <v>265</v>
      </c>
      <c r="D5" s="14" t="s">
        <v>267</v>
      </c>
      <c r="E5" s="14" t="s">
        <v>1101</v>
      </c>
      <c r="F5" s="14" t="s">
        <v>1102</v>
      </c>
      <c r="G5" s="14" t="s">
        <v>266</v>
      </c>
    </row>
    <row r="6" spans="1:7" x14ac:dyDescent="0.2">
      <c r="B6" s="1">
        <v>1000</v>
      </c>
      <c r="C6" s="1" t="s">
        <v>1103</v>
      </c>
      <c r="D6" s="1">
        <v>100000000</v>
      </c>
      <c r="E6" s="1">
        <v>10</v>
      </c>
      <c r="F6" s="1">
        <f>D6</f>
        <v>100000000</v>
      </c>
      <c r="G6" s="1">
        <v>1</v>
      </c>
    </row>
    <row r="7" spans="1:7" x14ac:dyDescent="0.2">
      <c r="B7" s="1">
        <v>1001</v>
      </c>
      <c r="C7" s="1" t="s">
        <v>1104</v>
      </c>
      <c r="D7" s="1">
        <v>300000000</v>
      </c>
      <c r="E7" s="1">
        <v>10</v>
      </c>
      <c r="F7" s="1">
        <f>D7-D6</f>
        <v>200000000</v>
      </c>
      <c r="G7" s="1">
        <v>1</v>
      </c>
    </row>
    <row r="8" spans="1:7" x14ac:dyDescent="0.2">
      <c r="B8" s="1">
        <v>1002</v>
      </c>
      <c r="C8" s="1" t="s">
        <v>1105</v>
      </c>
      <c r="D8" s="1">
        <v>800000000</v>
      </c>
      <c r="E8" s="1">
        <v>10</v>
      </c>
      <c r="F8" s="1">
        <f t="shared" ref="F8:F15" si="0">D8-D7</f>
        <v>500000000</v>
      </c>
      <c r="G8" s="1">
        <v>1</v>
      </c>
    </row>
    <row r="9" spans="1:7" x14ac:dyDescent="0.2">
      <c r="B9" s="1">
        <v>1003</v>
      </c>
      <c r="C9" s="1" t="s">
        <v>1106</v>
      </c>
      <c r="D9" s="1">
        <v>1500000000</v>
      </c>
      <c r="E9" s="1">
        <v>10</v>
      </c>
      <c r="F9" s="1">
        <f t="shared" si="0"/>
        <v>700000000</v>
      </c>
      <c r="G9" s="1">
        <v>1</v>
      </c>
    </row>
    <row r="10" spans="1:7" x14ac:dyDescent="0.2">
      <c r="B10" s="1">
        <v>1004</v>
      </c>
      <c r="C10" s="1" t="s">
        <v>1107</v>
      </c>
      <c r="D10" s="1">
        <v>3000000000</v>
      </c>
      <c r="E10" s="1">
        <v>10</v>
      </c>
      <c r="F10" s="1">
        <f t="shared" si="0"/>
        <v>1500000000</v>
      </c>
      <c r="G10" s="1">
        <v>1</v>
      </c>
    </row>
    <row r="11" spans="1:7" x14ac:dyDescent="0.2">
      <c r="B11" s="1">
        <v>1005</v>
      </c>
      <c r="C11" s="1" t="s">
        <v>1108</v>
      </c>
      <c r="D11" s="1">
        <v>5000000000</v>
      </c>
      <c r="E11" s="1">
        <v>10</v>
      </c>
      <c r="F11" s="1">
        <f t="shared" si="0"/>
        <v>2000000000</v>
      </c>
      <c r="G11" s="1">
        <v>1</v>
      </c>
    </row>
    <row r="12" spans="1:7" x14ac:dyDescent="0.2">
      <c r="B12" s="1">
        <v>1006</v>
      </c>
      <c r="C12" s="1" t="s">
        <v>1109</v>
      </c>
      <c r="D12" s="1">
        <v>8000000000</v>
      </c>
      <c r="E12" s="1">
        <v>10</v>
      </c>
      <c r="F12" s="1">
        <f t="shared" si="0"/>
        <v>3000000000</v>
      </c>
      <c r="G12" s="1">
        <v>1</v>
      </c>
    </row>
    <row r="13" spans="1:7" x14ac:dyDescent="0.2">
      <c r="B13" s="1">
        <v>1007</v>
      </c>
      <c r="C13" s="1" t="s">
        <v>1110</v>
      </c>
      <c r="D13" s="1">
        <v>12000000000</v>
      </c>
      <c r="E13" s="1">
        <v>10</v>
      </c>
      <c r="F13" s="1">
        <f t="shared" si="0"/>
        <v>4000000000</v>
      </c>
      <c r="G13" s="1">
        <v>1</v>
      </c>
    </row>
    <row r="14" spans="1:7" x14ac:dyDescent="0.2">
      <c r="B14" s="1">
        <v>1008</v>
      </c>
      <c r="C14" s="1" t="s">
        <v>1111</v>
      </c>
      <c r="D14" s="1">
        <v>18000000000</v>
      </c>
      <c r="E14" s="1">
        <v>10</v>
      </c>
      <c r="F14" s="1">
        <f t="shared" si="0"/>
        <v>6000000000</v>
      </c>
      <c r="G14" s="1">
        <v>1</v>
      </c>
    </row>
    <row r="15" spans="1:7" x14ac:dyDescent="0.2">
      <c r="B15" s="1">
        <v>1009</v>
      </c>
      <c r="C15" s="1" t="s">
        <v>1112</v>
      </c>
      <c r="D15" s="1">
        <v>25000000000</v>
      </c>
      <c r="E15" s="1">
        <v>10</v>
      </c>
      <c r="F15" s="1">
        <f t="shared" si="0"/>
        <v>7000000000</v>
      </c>
      <c r="G15" s="1">
        <v>1</v>
      </c>
    </row>
    <row r="16" spans="1:7" x14ac:dyDescent="0.2">
      <c r="B16" s="1">
        <v>1010</v>
      </c>
      <c r="C16" s="1" t="s">
        <v>1113</v>
      </c>
      <c r="D16" s="1">
        <v>32000000000</v>
      </c>
      <c r="E16" s="1">
        <v>10</v>
      </c>
      <c r="F16" s="1">
        <f t="shared" ref="F16:F23" si="1">D16-D15</f>
        <v>7000000000</v>
      </c>
      <c r="G16" s="1">
        <v>1</v>
      </c>
    </row>
    <row r="17" spans="2:7" x14ac:dyDescent="0.2">
      <c r="B17" s="1">
        <v>1011</v>
      </c>
      <c r="C17" s="1" t="s">
        <v>1114</v>
      </c>
      <c r="D17" s="1">
        <v>40000000000</v>
      </c>
      <c r="E17" s="1">
        <v>10</v>
      </c>
      <c r="F17" s="1">
        <f t="shared" si="1"/>
        <v>8000000000</v>
      </c>
      <c r="G17" s="1">
        <v>1</v>
      </c>
    </row>
    <row r="18" spans="2:7" x14ac:dyDescent="0.2">
      <c r="B18" s="1">
        <v>1012</v>
      </c>
      <c r="C18" s="1" t="s">
        <v>1115</v>
      </c>
      <c r="D18" s="1">
        <v>50000000000</v>
      </c>
      <c r="E18" s="1">
        <v>10</v>
      </c>
      <c r="F18" s="1">
        <f t="shared" si="1"/>
        <v>10000000000</v>
      </c>
      <c r="G18" s="1">
        <v>1</v>
      </c>
    </row>
    <row r="19" spans="2:7" x14ac:dyDescent="0.2">
      <c r="B19" s="1">
        <v>1013</v>
      </c>
      <c r="C19" s="1" t="s">
        <v>1116</v>
      </c>
      <c r="D19" s="1">
        <v>60000000000</v>
      </c>
      <c r="E19" s="1">
        <v>10</v>
      </c>
      <c r="F19" s="1">
        <f t="shared" si="1"/>
        <v>10000000000</v>
      </c>
      <c r="G19" s="1">
        <v>1</v>
      </c>
    </row>
    <row r="20" spans="2:7" x14ac:dyDescent="0.2">
      <c r="B20" s="1">
        <v>1014</v>
      </c>
      <c r="C20" s="1" t="s">
        <v>1117</v>
      </c>
      <c r="D20" s="1">
        <v>70000000000</v>
      </c>
      <c r="E20" s="1">
        <v>10</v>
      </c>
      <c r="F20" s="1">
        <f t="shared" si="1"/>
        <v>10000000000</v>
      </c>
      <c r="G20" s="1">
        <v>1</v>
      </c>
    </row>
    <row r="21" spans="2:7" x14ac:dyDescent="0.2">
      <c r="B21" s="1">
        <v>1015</v>
      </c>
      <c r="C21" s="1" t="s">
        <v>1118</v>
      </c>
      <c r="D21" s="1">
        <v>80000000000</v>
      </c>
      <c r="E21" s="1">
        <v>10</v>
      </c>
      <c r="F21" s="1">
        <f t="shared" si="1"/>
        <v>10000000000</v>
      </c>
      <c r="G21" s="1">
        <v>1</v>
      </c>
    </row>
    <row r="22" spans="2:7" x14ac:dyDescent="0.2">
      <c r="B22" s="1">
        <v>1016</v>
      </c>
      <c r="C22" s="1" t="s">
        <v>1119</v>
      </c>
      <c r="D22" s="1">
        <v>90000000000</v>
      </c>
      <c r="E22" s="1">
        <v>10</v>
      </c>
      <c r="F22" s="1">
        <f t="shared" si="1"/>
        <v>10000000000</v>
      </c>
      <c r="G22" s="1">
        <v>1</v>
      </c>
    </row>
    <row r="23" spans="2:7" x14ac:dyDescent="0.2">
      <c r="B23" s="1">
        <v>1017</v>
      </c>
      <c r="C23" s="1" t="s">
        <v>1120</v>
      </c>
      <c r="D23" s="15">
        <v>100000000000</v>
      </c>
      <c r="E23" s="1">
        <v>10</v>
      </c>
      <c r="F23" s="1">
        <f t="shared" si="1"/>
        <v>10000000000</v>
      </c>
      <c r="G23" s="1">
        <v>1</v>
      </c>
    </row>
    <row r="24" spans="2:7" x14ac:dyDescent="0.2">
      <c r="B24" s="1">
        <v>2000</v>
      </c>
      <c r="C24" s="1" t="s">
        <v>1121</v>
      </c>
      <c r="D24" s="1">
        <v>168</v>
      </c>
      <c r="E24" s="1">
        <v>10</v>
      </c>
      <c r="F24" s="1">
        <f>D24</f>
        <v>168</v>
      </c>
      <c r="G24" s="1">
        <v>2</v>
      </c>
    </row>
    <row r="25" spans="2:7" x14ac:dyDescent="0.2">
      <c r="B25" s="1">
        <v>2001</v>
      </c>
      <c r="C25" s="1" t="s">
        <v>1122</v>
      </c>
      <c r="D25" s="1">
        <v>528</v>
      </c>
      <c r="E25" s="1">
        <v>10</v>
      </c>
      <c r="F25" s="1">
        <f>D25-D24</f>
        <v>360</v>
      </c>
      <c r="G25" s="1">
        <v>2</v>
      </c>
    </row>
    <row r="26" spans="2:7" x14ac:dyDescent="0.2">
      <c r="B26" s="1">
        <v>2002</v>
      </c>
      <c r="C26" s="1" t="s">
        <v>1123</v>
      </c>
      <c r="D26" s="1">
        <v>888</v>
      </c>
      <c r="E26" s="1">
        <v>10</v>
      </c>
      <c r="F26" s="1">
        <f t="shared" ref="F26:F33" si="2">D26-D25</f>
        <v>360</v>
      </c>
      <c r="G26" s="1">
        <v>2</v>
      </c>
    </row>
    <row r="27" spans="2:7" x14ac:dyDescent="0.2">
      <c r="B27" s="1">
        <v>2003</v>
      </c>
      <c r="C27" s="1" t="s">
        <v>1124</v>
      </c>
      <c r="D27" s="1">
        <v>1888</v>
      </c>
      <c r="E27" s="1">
        <v>10</v>
      </c>
      <c r="F27" s="1">
        <f t="shared" si="2"/>
        <v>1000</v>
      </c>
      <c r="G27" s="1">
        <v>2</v>
      </c>
    </row>
    <row r="28" spans="2:7" x14ac:dyDescent="0.2">
      <c r="B28" s="1">
        <v>2004</v>
      </c>
      <c r="C28" s="1" t="s">
        <v>1125</v>
      </c>
      <c r="D28" s="1">
        <v>2888</v>
      </c>
      <c r="E28" s="1">
        <v>10</v>
      </c>
      <c r="F28" s="1">
        <f t="shared" si="2"/>
        <v>1000</v>
      </c>
      <c r="G28" s="1">
        <v>2</v>
      </c>
    </row>
    <row r="29" spans="2:7" x14ac:dyDescent="0.2">
      <c r="B29" s="1">
        <v>2005</v>
      </c>
      <c r="C29" s="1" t="s">
        <v>1126</v>
      </c>
      <c r="D29" s="1">
        <v>3888</v>
      </c>
      <c r="E29" s="1">
        <v>10</v>
      </c>
      <c r="F29" s="1">
        <f t="shared" si="2"/>
        <v>1000</v>
      </c>
      <c r="G29" s="1">
        <v>2</v>
      </c>
    </row>
    <row r="30" spans="2:7" x14ac:dyDescent="0.2">
      <c r="B30" s="1">
        <v>2006</v>
      </c>
      <c r="C30" s="1" t="s">
        <v>1127</v>
      </c>
      <c r="D30" s="1">
        <v>6888</v>
      </c>
      <c r="E30" s="1">
        <v>10</v>
      </c>
      <c r="F30" s="1">
        <f t="shared" si="2"/>
        <v>3000</v>
      </c>
      <c r="G30" s="1">
        <v>2</v>
      </c>
    </row>
    <row r="31" spans="2:7" x14ac:dyDescent="0.2">
      <c r="B31" s="1">
        <v>2007</v>
      </c>
      <c r="C31" s="1" t="s">
        <v>1128</v>
      </c>
      <c r="D31" s="1">
        <v>9888</v>
      </c>
      <c r="E31" s="1">
        <v>10</v>
      </c>
      <c r="F31" s="1">
        <f t="shared" si="2"/>
        <v>3000</v>
      </c>
      <c r="G31" s="1">
        <v>2</v>
      </c>
    </row>
    <row r="32" spans="2:7" x14ac:dyDescent="0.2">
      <c r="B32" s="1">
        <v>2008</v>
      </c>
      <c r="C32" s="1" t="s">
        <v>1129</v>
      </c>
      <c r="D32" s="1">
        <v>12888</v>
      </c>
      <c r="E32" s="1">
        <v>10</v>
      </c>
      <c r="F32" s="1">
        <f t="shared" si="2"/>
        <v>3000</v>
      </c>
      <c r="G32" s="1">
        <v>2</v>
      </c>
    </row>
    <row r="33" spans="2:7" x14ac:dyDescent="0.2">
      <c r="B33" s="1">
        <v>2009</v>
      </c>
      <c r="C33" s="1" t="s">
        <v>1130</v>
      </c>
      <c r="D33" s="1">
        <v>15888</v>
      </c>
      <c r="E33" s="1">
        <v>10</v>
      </c>
      <c r="F33" s="1">
        <f t="shared" si="2"/>
        <v>3000</v>
      </c>
      <c r="G33" s="1">
        <v>2</v>
      </c>
    </row>
  </sheetData>
  <phoneticPr fontId="12" type="noConversion"/>
  <pageMargins left="0.75" right="0.75" top="1" bottom="1" header="0.5" footer="0.5"/>
  <pageSetup paperSize="9" orientation="portrait"/>
  <legacyDrawing r:id="rId1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D00-000000000000}">
  <dimension ref="A1:C8"/>
  <sheetViews>
    <sheetView workbookViewId="0">
      <selection sqref="A1:D5"/>
    </sheetView>
  </sheetViews>
  <sheetFormatPr defaultColWidth="9" defaultRowHeight="14.25" x14ac:dyDescent="0.2"/>
  <cols>
    <col min="1" max="2" width="9" style="1"/>
    <col min="3" max="3" width="14.75" style="1" customWidth="1"/>
    <col min="4" max="16384" width="9" style="1"/>
  </cols>
  <sheetData>
    <row r="1" spans="1:3" x14ac:dyDescent="0.2">
      <c r="A1" s="2" t="s">
        <v>0</v>
      </c>
      <c r="B1" s="3" t="s">
        <v>1</v>
      </c>
      <c r="C1" s="3" t="s">
        <v>33</v>
      </c>
    </row>
    <row r="2" spans="1:3" x14ac:dyDescent="0.2">
      <c r="A2" s="2" t="s">
        <v>0</v>
      </c>
      <c r="B2" s="2"/>
      <c r="C2" s="2"/>
    </row>
    <row r="3" spans="1:3" x14ac:dyDescent="0.2">
      <c r="A3" s="5" t="s">
        <v>6</v>
      </c>
      <c r="B3" s="3" t="s">
        <v>7</v>
      </c>
      <c r="C3" s="3" t="s">
        <v>7</v>
      </c>
    </row>
    <row r="4" spans="1:3" x14ac:dyDescent="0.2">
      <c r="A4" s="5" t="s">
        <v>9</v>
      </c>
      <c r="B4" s="5"/>
      <c r="C4" s="5"/>
    </row>
    <row r="5" spans="1:3" x14ac:dyDescent="0.2">
      <c r="A5" s="2" t="s">
        <v>10</v>
      </c>
      <c r="B5" s="1" t="s">
        <v>953</v>
      </c>
      <c r="C5" s="1" t="s">
        <v>1131</v>
      </c>
    </row>
    <row r="6" spans="1:3" x14ac:dyDescent="0.2">
      <c r="B6" s="1">
        <v>10003</v>
      </c>
      <c r="C6" s="1">
        <v>10</v>
      </c>
    </row>
    <row r="7" spans="1:3" x14ac:dyDescent="0.2">
      <c r="B7" s="1">
        <v>10000</v>
      </c>
      <c r="C7" s="1">
        <v>30</v>
      </c>
    </row>
    <row r="8" spans="1:3" x14ac:dyDescent="0.2">
      <c r="B8" s="1">
        <v>10002</v>
      </c>
      <c r="C8" s="1">
        <v>60</v>
      </c>
    </row>
  </sheetData>
  <phoneticPr fontId="12" type="noConversion"/>
  <pageMargins left="0.75" right="0.75" top="1" bottom="1" header="0.5" footer="0.5"/>
  <pageSetup paperSize="9" orientation="portrait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E00-000000000000}">
  <dimension ref="A1:G16"/>
  <sheetViews>
    <sheetView workbookViewId="0">
      <selection activeCell="H35" sqref="H35"/>
    </sheetView>
  </sheetViews>
  <sheetFormatPr defaultColWidth="9" defaultRowHeight="14.25" x14ac:dyDescent="0.2"/>
  <cols>
    <col min="1" max="3" width="9" style="1"/>
    <col min="4" max="5" width="32.5" style="1" customWidth="1"/>
    <col min="6" max="6" width="18" style="1" customWidth="1"/>
    <col min="7" max="7" width="9" style="1"/>
    <col min="8" max="9" width="9.375" style="1"/>
    <col min="10" max="16384" width="9" style="1"/>
  </cols>
  <sheetData>
    <row r="1" spans="1:7" x14ac:dyDescent="0.2">
      <c r="A1" s="2" t="s">
        <v>0</v>
      </c>
      <c r="B1" s="3" t="s">
        <v>1</v>
      </c>
      <c r="C1" s="3" t="s">
        <v>56</v>
      </c>
      <c r="D1" s="3" t="s">
        <v>259</v>
      </c>
      <c r="E1" s="3" t="s">
        <v>1014</v>
      </c>
      <c r="F1" s="3" t="s">
        <v>127</v>
      </c>
    </row>
    <row r="2" spans="1:7" x14ac:dyDescent="0.2">
      <c r="A2" s="2" t="s">
        <v>0</v>
      </c>
      <c r="B2" s="2"/>
      <c r="C2" s="2"/>
      <c r="D2" s="2"/>
      <c r="E2" s="2"/>
      <c r="F2" s="2"/>
    </row>
    <row r="3" spans="1:7" x14ac:dyDescent="0.2">
      <c r="A3" s="5" t="s">
        <v>6</v>
      </c>
      <c r="B3" s="3" t="s">
        <v>7</v>
      </c>
      <c r="C3" s="3" t="s">
        <v>7</v>
      </c>
      <c r="D3" s="3" t="s">
        <v>7</v>
      </c>
      <c r="E3" s="3" t="s">
        <v>7</v>
      </c>
      <c r="F3" s="5" t="s">
        <v>7</v>
      </c>
    </row>
    <row r="4" spans="1:7" x14ac:dyDescent="0.2">
      <c r="A4" s="5" t="s">
        <v>9</v>
      </c>
      <c r="B4" s="5"/>
      <c r="C4" s="5"/>
      <c r="D4" s="5"/>
      <c r="E4" s="5"/>
      <c r="F4" s="5"/>
    </row>
    <row r="5" spans="1:7" x14ac:dyDescent="0.2">
      <c r="A5" s="2" t="s">
        <v>10</v>
      </c>
      <c r="B5" s="1" t="s">
        <v>1132</v>
      </c>
      <c r="C5" s="1" t="s">
        <v>11</v>
      </c>
      <c r="D5" s="1" t="s">
        <v>1133</v>
      </c>
      <c r="E5" s="1" t="s">
        <v>1134</v>
      </c>
      <c r="F5" s="1" t="s">
        <v>1135</v>
      </c>
      <c r="G5" s="1" t="s">
        <v>1136</v>
      </c>
    </row>
    <row r="6" spans="1:7" x14ac:dyDescent="0.2">
      <c r="B6" s="1">
        <v>900</v>
      </c>
      <c r="C6" s="1">
        <v>0</v>
      </c>
      <c r="D6" s="1">
        <v>40000</v>
      </c>
      <c r="E6" s="1">
        <v>510000</v>
      </c>
      <c r="F6" s="1">
        <v>6</v>
      </c>
      <c r="G6" s="1">
        <v>0.85</v>
      </c>
    </row>
    <row r="7" spans="1:7" x14ac:dyDescent="0.2">
      <c r="B7" s="1">
        <v>901</v>
      </c>
      <c r="C7" s="1">
        <v>1</v>
      </c>
      <c r="D7" s="1">
        <v>100000</v>
      </c>
      <c r="E7" s="1">
        <v>1020000</v>
      </c>
      <c r="F7" s="1">
        <v>12</v>
      </c>
      <c r="G7" s="1">
        <v>0.85</v>
      </c>
    </row>
    <row r="8" spans="1:7" x14ac:dyDescent="0.2">
      <c r="B8" s="1">
        <v>902</v>
      </c>
      <c r="C8" s="1">
        <v>2</v>
      </c>
      <c r="D8" s="1">
        <v>200000</v>
      </c>
      <c r="E8" s="1">
        <v>1548000</v>
      </c>
      <c r="F8" s="1">
        <v>18</v>
      </c>
      <c r="G8" s="1">
        <f>G7+0.01</f>
        <v>0.86</v>
      </c>
    </row>
    <row r="9" spans="1:7" x14ac:dyDescent="0.2">
      <c r="B9" s="1">
        <v>903</v>
      </c>
      <c r="C9" s="1">
        <v>3</v>
      </c>
      <c r="D9" s="1">
        <v>400000</v>
      </c>
      <c r="E9" s="1">
        <v>2064000</v>
      </c>
      <c r="F9" s="1">
        <v>24</v>
      </c>
      <c r="G9" s="1">
        <v>0.86</v>
      </c>
    </row>
    <row r="10" spans="1:7" x14ac:dyDescent="0.2">
      <c r="B10" s="1">
        <v>904</v>
      </c>
      <c r="C10" s="1">
        <v>4</v>
      </c>
      <c r="D10" s="1">
        <v>1000000</v>
      </c>
      <c r="E10" s="1">
        <v>3132000</v>
      </c>
      <c r="F10" s="1">
        <v>36</v>
      </c>
      <c r="G10" s="1">
        <v>0.87</v>
      </c>
    </row>
    <row r="11" spans="1:7" x14ac:dyDescent="0.2">
      <c r="B11" s="1">
        <v>905</v>
      </c>
      <c r="C11" s="1">
        <v>5</v>
      </c>
      <c r="D11" s="1">
        <v>2000000</v>
      </c>
      <c r="E11" s="1">
        <v>4176000</v>
      </c>
      <c r="F11" s="1">
        <v>48</v>
      </c>
      <c r="G11" s="1">
        <v>0.87</v>
      </c>
    </row>
    <row r="12" spans="1:7" x14ac:dyDescent="0.2">
      <c r="B12" s="1">
        <v>906</v>
      </c>
      <c r="C12" s="1">
        <v>6</v>
      </c>
      <c r="D12" s="1">
        <v>4000000</v>
      </c>
      <c r="E12" s="1">
        <v>5808000</v>
      </c>
      <c r="F12" s="1">
        <v>66</v>
      </c>
      <c r="G12" s="1">
        <v>0.88</v>
      </c>
    </row>
    <row r="13" spans="1:7" x14ac:dyDescent="0.2">
      <c r="B13" s="1">
        <v>907</v>
      </c>
      <c r="C13" s="1">
        <v>7</v>
      </c>
      <c r="D13" s="1">
        <v>6000000</v>
      </c>
      <c r="E13" s="1">
        <v>8624000</v>
      </c>
      <c r="F13" s="1">
        <v>98</v>
      </c>
      <c r="G13" s="1">
        <v>0.88</v>
      </c>
    </row>
    <row r="14" spans="1:7" x14ac:dyDescent="0.2">
      <c r="B14" s="1">
        <v>908</v>
      </c>
      <c r="C14" s="1">
        <v>8</v>
      </c>
      <c r="D14" s="1">
        <v>10000000</v>
      </c>
      <c r="E14" s="1">
        <v>11520000</v>
      </c>
      <c r="F14" s="1">
        <v>128</v>
      </c>
      <c r="G14" s="1">
        <v>0.9</v>
      </c>
    </row>
    <row r="15" spans="1:7" x14ac:dyDescent="0.2">
      <c r="B15" s="1">
        <v>909</v>
      </c>
      <c r="C15" s="1">
        <v>9</v>
      </c>
      <c r="D15" s="1">
        <v>20000000</v>
      </c>
      <c r="E15" s="1">
        <v>15120000</v>
      </c>
      <c r="F15" s="1">
        <v>168</v>
      </c>
      <c r="G15" s="1">
        <v>0.9</v>
      </c>
    </row>
    <row r="16" spans="1:7" x14ac:dyDescent="0.2">
      <c r="B16" s="1">
        <v>910</v>
      </c>
      <c r="C16" s="1">
        <v>10</v>
      </c>
      <c r="D16" s="1">
        <v>30000000</v>
      </c>
      <c r="E16" s="1">
        <v>17820000</v>
      </c>
      <c r="F16" s="1">
        <v>198</v>
      </c>
      <c r="G16" s="1">
        <v>0.9</v>
      </c>
    </row>
  </sheetData>
  <phoneticPr fontId="12" type="noConversion"/>
  <pageMargins left="0.75" right="0.75" top="1" bottom="1" header="0.5" footer="0.5"/>
  <pageSetup paperSize="9" orientation="portrait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F00-000000000000}">
  <dimension ref="A1:F66"/>
  <sheetViews>
    <sheetView workbookViewId="0">
      <selection activeCell="I22" sqref="I22"/>
    </sheetView>
  </sheetViews>
  <sheetFormatPr defaultColWidth="9" defaultRowHeight="14.25" x14ac:dyDescent="0.2"/>
  <cols>
    <col min="3" max="3" width="33.375" customWidth="1"/>
    <col min="4" max="4" width="20.625" customWidth="1"/>
    <col min="5" max="6" width="14.625" customWidth="1"/>
  </cols>
  <sheetData>
    <row r="1" spans="1:6" x14ac:dyDescent="0.2">
      <c r="A1" s="2" t="s">
        <v>0</v>
      </c>
      <c r="B1" s="3" t="s">
        <v>1</v>
      </c>
      <c r="C1" s="3" t="s">
        <v>262</v>
      </c>
      <c r="D1" s="3" t="s">
        <v>32</v>
      </c>
      <c r="E1" s="3" t="s">
        <v>3</v>
      </c>
      <c r="F1" s="3" t="s">
        <v>52</v>
      </c>
    </row>
    <row r="2" spans="1:6" x14ac:dyDescent="0.2">
      <c r="A2" s="2" t="s">
        <v>0</v>
      </c>
      <c r="B2" s="2"/>
      <c r="C2" s="2"/>
      <c r="D2" s="2"/>
      <c r="E2" s="2"/>
      <c r="F2" s="2"/>
    </row>
    <row r="3" spans="1:6" x14ac:dyDescent="0.2">
      <c r="A3" s="5" t="s">
        <v>6</v>
      </c>
      <c r="B3" s="3" t="s">
        <v>7</v>
      </c>
      <c r="C3" s="3" t="s">
        <v>8</v>
      </c>
      <c r="D3" s="3" t="s">
        <v>7</v>
      </c>
      <c r="E3" s="3" t="s">
        <v>7</v>
      </c>
      <c r="F3" s="3" t="s">
        <v>7</v>
      </c>
    </row>
    <row r="4" spans="1:6" x14ac:dyDescent="0.2">
      <c r="A4" s="5" t="s">
        <v>9</v>
      </c>
      <c r="B4" s="5"/>
      <c r="C4" s="5"/>
      <c r="D4" s="5"/>
      <c r="E4" s="5"/>
      <c r="F4" s="5"/>
    </row>
    <row r="5" spans="1:6" x14ac:dyDescent="0.2">
      <c r="A5" s="2" t="s">
        <v>10</v>
      </c>
      <c r="B5" s="3" t="s">
        <v>264</v>
      </c>
      <c r="C5" s="3" t="s">
        <v>265</v>
      </c>
      <c r="D5" s="14" t="s">
        <v>267</v>
      </c>
      <c r="E5" s="14" t="s">
        <v>1137</v>
      </c>
      <c r="F5" s="14" t="s">
        <v>266</v>
      </c>
    </row>
    <row r="6" spans="1:6" x14ac:dyDescent="0.2">
      <c r="A6" s="1"/>
      <c r="B6" s="1">
        <v>1000</v>
      </c>
      <c r="C6" s="1" t="s">
        <v>1138</v>
      </c>
      <c r="D6" s="1">
        <v>1</v>
      </c>
      <c r="E6" s="1">
        <v>1</v>
      </c>
      <c r="F6" s="1">
        <v>1</v>
      </c>
    </row>
    <row r="7" spans="1:6" x14ac:dyDescent="0.2">
      <c r="A7" s="1"/>
      <c r="B7" s="1">
        <v>1001</v>
      </c>
      <c r="C7" s="1" t="s">
        <v>1139</v>
      </c>
      <c r="D7" s="1">
        <v>2</v>
      </c>
      <c r="E7" s="1">
        <v>1</v>
      </c>
      <c r="F7" s="1">
        <v>1</v>
      </c>
    </row>
    <row r="8" spans="1:6" x14ac:dyDescent="0.2">
      <c r="A8" s="1"/>
      <c r="B8" s="1">
        <v>1002</v>
      </c>
      <c r="C8" s="1" t="s">
        <v>1140</v>
      </c>
      <c r="D8" s="1">
        <v>3</v>
      </c>
      <c r="E8" s="1">
        <v>1</v>
      </c>
      <c r="F8" s="1">
        <v>1</v>
      </c>
    </row>
    <row r="9" spans="1:6" x14ac:dyDescent="0.2">
      <c r="A9" s="1"/>
      <c r="B9" s="1">
        <v>1003</v>
      </c>
      <c r="C9" s="1" t="s">
        <v>1141</v>
      </c>
      <c r="D9" s="1">
        <v>4</v>
      </c>
      <c r="E9" s="1">
        <v>1</v>
      </c>
      <c r="F9" s="1">
        <v>1</v>
      </c>
    </row>
    <row r="10" spans="1:6" x14ac:dyDescent="0.2">
      <c r="A10" s="1"/>
      <c r="B10" s="1">
        <v>1004</v>
      </c>
      <c r="C10" s="1" t="s">
        <v>1142</v>
      </c>
      <c r="D10" s="1">
        <v>5</v>
      </c>
      <c r="E10" s="1">
        <v>1</v>
      </c>
      <c r="F10" s="1">
        <v>1</v>
      </c>
    </row>
    <row r="11" spans="1:6" x14ac:dyDescent="0.2">
      <c r="A11" s="1"/>
      <c r="B11" s="1">
        <v>1005</v>
      </c>
      <c r="C11" s="1" t="s">
        <v>1143</v>
      </c>
      <c r="D11" s="1">
        <v>6</v>
      </c>
      <c r="E11" s="1">
        <v>1</v>
      </c>
      <c r="F11" s="1">
        <v>1</v>
      </c>
    </row>
    <row r="12" spans="1:6" x14ac:dyDescent="0.2">
      <c r="A12" s="1"/>
      <c r="B12" s="1">
        <v>1006</v>
      </c>
      <c r="C12" s="1" t="s">
        <v>1144</v>
      </c>
      <c r="D12" s="1">
        <v>7</v>
      </c>
      <c r="E12" s="1">
        <v>1</v>
      </c>
      <c r="F12" s="1">
        <v>1</v>
      </c>
    </row>
    <row r="13" spans="1:6" x14ac:dyDescent="0.2">
      <c r="A13" s="1"/>
      <c r="B13" s="1">
        <v>1007</v>
      </c>
      <c r="C13" s="1" t="s">
        <v>1145</v>
      </c>
      <c r="D13" s="1">
        <v>8</v>
      </c>
      <c r="E13" s="1">
        <v>1</v>
      </c>
      <c r="F13" s="1">
        <v>1</v>
      </c>
    </row>
    <row r="14" spans="1:6" x14ac:dyDescent="0.2">
      <c r="A14" s="1"/>
      <c r="B14" s="1">
        <v>1008</v>
      </c>
      <c r="C14" s="1" t="s">
        <v>1146</v>
      </c>
      <c r="D14" s="1">
        <v>9</v>
      </c>
      <c r="E14" s="1">
        <v>1</v>
      </c>
      <c r="F14" s="1">
        <v>1</v>
      </c>
    </row>
    <row r="15" spans="1:6" x14ac:dyDescent="0.2">
      <c r="A15" s="1"/>
      <c r="B15" s="1">
        <v>1009</v>
      </c>
      <c r="C15" s="1" t="s">
        <v>1147</v>
      </c>
      <c r="D15" s="1">
        <v>10</v>
      </c>
      <c r="E15" s="1">
        <v>1</v>
      </c>
      <c r="F15" s="1">
        <v>1</v>
      </c>
    </row>
    <row r="16" spans="1:6" x14ac:dyDescent="0.2">
      <c r="A16" s="1"/>
      <c r="B16" s="1">
        <v>1010</v>
      </c>
      <c r="C16" s="1" t="s">
        <v>1148</v>
      </c>
      <c r="D16" s="1">
        <v>11</v>
      </c>
      <c r="E16" s="1">
        <v>1</v>
      </c>
      <c r="F16" s="1">
        <v>1</v>
      </c>
    </row>
    <row r="17" spans="1:6" x14ac:dyDescent="0.2">
      <c r="A17" s="1"/>
      <c r="B17" s="1">
        <v>1011</v>
      </c>
      <c r="C17" s="1" t="s">
        <v>1149</v>
      </c>
      <c r="D17" s="1">
        <v>12</v>
      </c>
      <c r="E17" s="1">
        <v>1</v>
      </c>
      <c r="F17" s="1">
        <v>1</v>
      </c>
    </row>
    <row r="18" spans="1:6" x14ac:dyDescent="0.2">
      <c r="A18" s="1"/>
      <c r="B18" s="1">
        <v>1012</v>
      </c>
      <c r="C18" s="1" t="s">
        <v>1150</v>
      </c>
      <c r="D18" s="1">
        <v>13</v>
      </c>
      <c r="E18" s="1">
        <v>1</v>
      </c>
      <c r="F18" s="1">
        <v>1</v>
      </c>
    </row>
    <row r="19" spans="1:6" x14ac:dyDescent="0.2">
      <c r="A19" s="1"/>
      <c r="B19" s="1">
        <v>1013</v>
      </c>
      <c r="C19" s="1" t="s">
        <v>1151</v>
      </c>
      <c r="D19" s="1">
        <v>14</v>
      </c>
      <c r="E19" s="1">
        <v>1</v>
      </c>
      <c r="F19" s="1">
        <v>1</v>
      </c>
    </row>
    <row r="20" spans="1:6" x14ac:dyDescent="0.2">
      <c r="A20" s="1"/>
      <c r="B20" s="1">
        <v>1014</v>
      </c>
      <c r="C20" s="1" t="s">
        <v>1152</v>
      </c>
      <c r="D20" s="1">
        <v>15</v>
      </c>
      <c r="E20" s="1">
        <v>1</v>
      </c>
      <c r="F20" s="1">
        <v>1</v>
      </c>
    </row>
    <row r="21" spans="1:6" x14ac:dyDescent="0.2">
      <c r="A21" s="1"/>
      <c r="B21" s="1">
        <v>1015</v>
      </c>
      <c r="C21" s="1" t="s">
        <v>1153</v>
      </c>
      <c r="D21" s="1">
        <v>16</v>
      </c>
      <c r="E21" s="1">
        <v>1</v>
      </c>
      <c r="F21" s="1">
        <v>1</v>
      </c>
    </row>
    <row r="22" spans="1:6" x14ac:dyDescent="0.2">
      <c r="A22" s="1"/>
      <c r="B22" s="1">
        <v>1016</v>
      </c>
      <c r="C22" s="1" t="s">
        <v>1154</v>
      </c>
      <c r="D22" s="1">
        <v>17</v>
      </c>
      <c r="E22" s="1">
        <v>1</v>
      </c>
      <c r="F22" s="1">
        <v>1</v>
      </c>
    </row>
    <row r="23" spans="1:6" x14ac:dyDescent="0.2">
      <c r="A23" s="1"/>
      <c r="B23" s="1">
        <v>1017</v>
      </c>
      <c r="C23" s="1" t="s">
        <v>1155</v>
      </c>
      <c r="D23" s="1">
        <v>18</v>
      </c>
      <c r="E23" s="1">
        <v>1</v>
      </c>
      <c r="F23" s="1">
        <v>1</v>
      </c>
    </row>
    <row r="24" spans="1:6" x14ac:dyDescent="0.2">
      <c r="A24" s="1"/>
      <c r="B24" s="1">
        <v>1018</v>
      </c>
      <c r="C24" s="1" t="s">
        <v>1156</v>
      </c>
      <c r="D24" s="1">
        <v>19</v>
      </c>
      <c r="E24" s="1">
        <v>1</v>
      </c>
      <c r="F24" s="1">
        <v>1</v>
      </c>
    </row>
    <row r="25" spans="1:6" x14ac:dyDescent="0.2">
      <c r="A25" s="1"/>
      <c r="B25" s="1">
        <v>1019</v>
      </c>
      <c r="C25" s="1" t="s">
        <v>1157</v>
      </c>
      <c r="D25" s="1">
        <v>20</v>
      </c>
      <c r="E25" s="1">
        <v>1</v>
      </c>
      <c r="F25" s="1">
        <v>1</v>
      </c>
    </row>
    <row r="26" spans="1:6" x14ac:dyDescent="0.2">
      <c r="A26" s="1"/>
      <c r="B26" s="1">
        <v>1020</v>
      </c>
      <c r="C26" s="1" t="s">
        <v>1158</v>
      </c>
      <c r="D26" s="1">
        <v>21</v>
      </c>
      <c r="E26" s="1">
        <v>1</v>
      </c>
      <c r="F26" s="1">
        <v>1</v>
      </c>
    </row>
    <row r="27" spans="1:6" x14ac:dyDescent="0.2">
      <c r="A27" s="1"/>
      <c r="B27" s="1">
        <v>1021</v>
      </c>
      <c r="C27" s="1" t="s">
        <v>1159</v>
      </c>
      <c r="D27" s="1">
        <v>22</v>
      </c>
      <c r="E27" s="1">
        <v>1</v>
      </c>
      <c r="F27" s="1">
        <v>1</v>
      </c>
    </row>
    <row r="28" spans="1:6" x14ac:dyDescent="0.2">
      <c r="A28" s="1"/>
      <c r="B28" s="1">
        <v>1022</v>
      </c>
      <c r="C28" s="1" t="s">
        <v>1160</v>
      </c>
      <c r="D28" s="1">
        <v>23</v>
      </c>
      <c r="E28" s="1">
        <v>1</v>
      </c>
      <c r="F28" s="1">
        <v>1</v>
      </c>
    </row>
    <row r="29" spans="1:6" x14ac:dyDescent="0.2">
      <c r="A29" s="1"/>
      <c r="B29" s="1">
        <v>1023</v>
      </c>
      <c r="C29" s="1" t="s">
        <v>1161</v>
      </c>
      <c r="D29" s="1">
        <v>24</v>
      </c>
      <c r="E29" s="1">
        <v>1</v>
      </c>
      <c r="F29" s="1">
        <v>1</v>
      </c>
    </row>
    <row r="30" spans="1:6" x14ac:dyDescent="0.2">
      <c r="A30" s="1"/>
      <c r="B30" s="1">
        <v>1024</v>
      </c>
      <c r="C30" s="1" t="s">
        <v>1162</v>
      </c>
      <c r="D30" s="1">
        <v>25</v>
      </c>
      <c r="E30" s="1">
        <v>1</v>
      </c>
      <c r="F30" s="1">
        <v>1</v>
      </c>
    </row>
    <row r="31" spans="1:6" x14ac:dyDescent="0.2">
      <c r="A31" s="1"/>
      <c r="B31" s="1">
        <v>1025</v>
      </c>
      <c r="C31" s="1" t="s">
        <v>1163</v>
      </c>
      <c r="D31" s="1">
        <v>26</v>
      </c>
      <c r="E31" s="1">
        <v>1</v>
      </c>
      <c r="F31" s="1">
        <v>1</v>
      </c>
    </row>
    <row r="32" spans="1:6" x14ac:dyDescent="0.2">
      <c r="A32" s="1"/>
      <c r="B32" s="1">
        <v>1026</v>
      </c>
      <c r="C32" s="1" t="s">
        <v>1164</v>
      </c>
      <c r="D32" s="1">
        <v>27</v>
      </c>
      <c r="E32" s="1">
        <v>1</v>
      </c>
      <c r="F32" s="1">
        <v>1</v>
      </c>
    </row>
    <row r="33" spans="1:6" x14ac:dyDescent="0.2">
      <c r="A33" s="1"/>
      <c r="B33" s="1">
        <v>1027</v>
      </c>
      <c r="C33" s="1" t="s">
        <v>1165</v>
      </c>
      <c r="D33" s="1">
        <v>28</v>
      </c>
      <c r="E33" s="1">
        <v>1</v>
      </c>
      <c r="F33" s="1">
        <v>1</v>
      </c>
    </row>
    <row r="34" spans="1:6" x14ac:dyDescent="0.2">
      <c r="B34" s="1">
        <v>1028</v>
      </c>
      <c r="C34" s="1" t="s">
        <v>1166</v>
      </c>
      <c r="D34" s="1">
        <v>29</v>
      </c>
      <c r="E34" s="1">
        <v>1</v>
      </c>
      <c r="F34" s="1">
        <v>1</v>
      </c>
    </row>
    <row r="35" spans="1:6" x14ac:dyDescent="0.2">
      <c r="B35" s="1">
        <v>1029</v>
      </c>
      <c r="C35" s="1" t="s">
        <v>1167</v>
      </c>
      <c r="D35" s="1">
        <v>30</v>
      </c>
      <c r="E35" s="1">
        <v>1</v>
      </c>
      <c r="F35" s="1">
        <v>1</v>
      </c>
    </row>
    <row r="36" spans="1:6" x14ac:dyDescent="0.2">
      <c r="B36" s="1">
        <v>2000</v>
      </c>
      <c r="C36" s="1" t="s">
        <v>1168</v>
      </c>
      <c r="D36" s="1">
        <v>1</v>
      </c>
      <c r="E36" s="1">
        <v>1</v>
      </c>
      <c r="F36" s="1">
        <v>2</v>
      </c>
    </row>
    <row r="37" spans="1:6" x14ac:dyDescent="0.2">
      <c r="B37" s="1">
        <v>2001</v>
      </c>
      <c r="C37" s="1" t="s">
        <v>1169</v>
      </c>
      <c r="D37" s="1">
        <v>2</v>
      </c>
      <c r="E37" s="1">
        <v>1</v>
      </c>
      <c r="F37" s="1">
        <v>2</v>
      </c>
    </row>
    <row r="38" spans="1:6" x14ac:dyDescent="0.2">
      <c r="B38" s="1">
        <v>2002</v>
      </c>
      <c r="C38" s="1" t="s">
        <v>1170</v>
      </c>
      <c r="D38" s="1">
        <v>3</v>
      </c>
      <c r="E38" s="1">
        <v>1</v>
      </c>
      <c r="F38" s="1">
        <v>2</v>
      </c>
    </row>
    <row r="39" spans="1:6" x14ac:dyDescent="0.2">
      <c r="B39" s="1">
        <v>2003</v>
      </c>
      <c r="C39" s="1" t="s">
        <v>1171</v>
      </c>
      <c r="D39" s="1">
        <v>4</v>
      </c>
      <c r="E39" s="1">
        <v>1</v>
      </c>
      <c r="F39" s="1">
        <v>2</v>
      </c>
    </row>
    <row r="40" spans="1:6" x14ac:dyDescent="0.2">
      <c r="B40" s="1">
        <v>2004</v>
      </c>
      <c r="C40" s="1" t="s">
        <v>1172</v>
      </c>
      <c r="D40" s="1">
        <v>5</v>
      </c>
      <c r="E40" s="1">
        <v>1</v>
      </c>
      <c r="F40" s="1">
        <v>2</v>
      </c>
    </row>
    <row r="41" spans="1:6" x14ac:dyDescent="0.2">
      <c r="B41" s="1">
        <v>2005</v>
      </c>
      <c r="C41" s="1" t="s">
        <v>1173</v>
      </c>
      <c r="D41" s="1">
        <v>6</v>
      </c>
      <c r="E41" s="1">
        <v>1</v>
      </c>
      <c r="F41" s="1">
        <v>2</v>
      </c>
    </row>
    <row r="42" spans="1:6" x14ac:dyDescent="0.2">
      <c r="B42" s="1">
        <v>2006</v>
      </c>
      <c r="C42" s="1" t="s">
        <v>1174</v>
      </c>
      <c r="D42" s="1">
        <v>7</v>
      </c>
      <c r="E42" s="1">
        <v>1</v>
      </c>
      <c r="F42" s="1">
        <v>2</v>
      </c>
    </row>
    <row r="43" spans="1:6" x14ac:dyDescent="0.2">
      <c r="B43" s="1">
        <v>2007</v>
      </c>
      <c r="C43" s="1" t="s">
        <v>1175</v>
      </c>
      <c r="D43" s="1">
        <v>8</v>
      </c>
      <c r="E43" s="1">
        <v>1</v>
      </c>
      <c r="F43" s="1">
        <v>2</v>
      </c>
    </row>
    <row r="44" spans="1:6" x14ac:dyDescent="0.2">
      <c r="B44" s="1">
        <v>2008</v>
      </c>
      <c r="C44" s="1" t="s">
        <v>1176</v>
      </c>
      <c r="D44" s="1">
        <v>9</v>
      </c>
      <c r="E44" s="1">
        <v>1</v>
      </c>
      <c r="F44" s="1">
        <v>2</v>
      </c>
    </row>
    <row r="45" spans="1:6" x14ac:dyDescent="0.2">
      <c r="B45" s="1">
        <v>2009</v>
      </c>
      <c r="C45" s="1" t="s">
        <v>1177</v>
      </c>
      <c r="D45" s="1">
        <v>10</v>
      </c>
      <c r="E45" s="1">
        <v>1</v>
      </c>
      <c r="F45" s="1">
        <v>2</v>
      </c>
    </row>
    <row r="46" spans="1:6" x14ac:dyDescent="0.2">
      <c r="B46" s="1">
        <v>2010</v>
      </c>
      <c r="C46" s="1" t="s">
        <v>1178</v>
      </c>
      <c r="D46" s="1">
        <v>11</v>
      </c>
      <c r="E46" s="1">
        <v>1</v>
      </c>
      <c r="F46" s="1">
        <v>2</v>
      </c>
    </row>
    <row r="47" spans="1:6" x14ac:dyDescent="0.2">
      <c r="B47" s="1">
        <v>2011</v>
      </c>
      <c r="C47" s="1" t="s">
        <v>1179</v>
      </c>
      <c r="D47" s="1">
        <v>12</v>
      </c>
      <c r="E47" s="1">
        <v>1</v>
      </c>
      <c r="F47" s="1">
        <v>2</v>
      </c>
    </row>
    <row r="48" spans="1:6" x14ac:dyDescent="0.2">
      <c r="B48" s="1">
        <v>2012</v>
      </c>
      <c r="C48" s="1" t="s">
        <v>1180</v>
      </c>
      <c r="D48" s="1">
        <v>13</v>
      </c>
      <c r="E48" s="1">
        <v>1</v>
      </c>
      <c r="F48" s="1">
        <v>2</v>
      </c>
    </row>
    <row r="49" spans="2:6" x14ac:dyDescent="0.2">
      <c r="B49" s="1">
        <v>2013</v>
      </c>
      <c r="C49" s="1" t="s">
        <v>1181</v>
      </c>
      <c r="D49" s="1">
        <v>14</v>
      </c>
      <c r="E49" s="1">
        <v>1</v>
      </c>
      <c r="F49" s="1">
        <v>2</v>
      </c>
    </row>
    <row r="50" spans="2:6" x14ac:dyDescent="0.2">
      <c r="B50" s="1">
        <v>2014</v>
      </c>
      <c r="C50" s="1" t="s">
        <v>1182</v>
      </c>
      <c r="D50" s="1">
        <v>15</v>
      </c>
      <c r="E50" s="1">
        <v>1</v>
      </c>
      <c r="F50" s="1">
        <v>2</v>
      </c>
    </row>
    <row r="51" spans="2:6" x14ac:dyDescent="0.2">
      <c r="B51" s="1">
        <v>2015</v>
      </c>
      <c r="C51" s="1" t="s">
        <v>1183</v>
      </c>
      <c r="D51" s="1">
        <v>16</v>
      </c>
      <c r="E51" s="1">
        <v>1</v>
      </c>
      <c r="F51" s="1">
        <v>2</v>
      </c>
    </row>
    <row r="52" spans="2:6" x14ac:dyDescent="0.2">
      <c r="B52" s="1">
        <v>2016</v>
      </c>
      <c r="C52" s="1" t="s">
        <v>1184</v>
      </c>
      <c r="D52" s="1">
        <v>17</v>
      </c>
      <c r="E52" s="1">
        <v>1</v>
      </c>
      <c r="F52" s="1">
        <v>2</v>
      </c>
    </row>
    <row r="53" spans="2:6" x14ac:dyDescent="0.2">
      <c r="B53" s="1">
        <v>2017</v>
      </c>
      <c r="C53" s="1" t="s">
        <v>1185</v>
      </c>
      <c r="D53" s="1">
        <v>18</v>
      </c>
      <c r="E53" s="1">
        <v>1</v>
      </c>
      <c r="F53" s="1">
        <v>2</v>
      </c>
    </row>
    <row r="54" spans="2:6" x14ac:dyDescent="0.2">
      <c r="B54" s="1">
        <v>2018</v>
      </c>
      <c r="C54" s="1" t="s">
        <v>1186</v>
      </c>
      <c r="D54" s="1">
        <v>19</v>
      </c>
      <c r="E54" s="1">
        <v>1</v>
      </c>
      <c r="F54" s="1">
        <v>2</v>
      </c>
    </row>
    <row r="55" spans="2:6" x14ac:dyDescent="0.2">
      <c r="B55" s="1">
        <v>2019</v>
      </c>
      <c r="C55" s="1" t="s">
        <v>1187</v>
      </c>
      <c r="D55" s="1">
        <v>20</v>
      </c>
      <c r="E55" s="1">
        <v>1</v>
      </c>
      <c r="F55" s="1">
        <v>2</v>
      </c>
    </row>
    <row r="56" spans="2:6" x14ac:dyDescent="0.2">
      <c r="B56" s="1">
        <v>2020</v>
      </c>
      <c r="C56" s="1" t="s">
        <v>1188</v>
      </c>
      <c r="D56" s="1">
        <v>21</v>
      </c>
      <c r="E56" s="1">
        <v>1</v>
      </c>
      <c r="F56" s="1">
        <v>2</v>
      </c>
    </row>
    <row r="57" spans="2:6" x14ac:dyDescent="0.2">
      <c r="B57" s="1">
        <v>2021</v>
      </c>
      <c r="C57" s="1" t="s">
        <v>1189</v>
      </c>
      <c r="D57" s="1">
        <v>22</v>
      </c>
      <c r="E57" s="1">
        <v>1</v>
      </c>
      <c r="F57" s="1">
        <v>2</v>
      </c>
    </row>
    <row r="58" spans="2:6" x14ac:dyDescent="0.2">
      <c r="B58" s="1">
        <v>2022</v>
      </c>
      <c r="C58" s="1" t="s">
        <v>1190</v>
      </c>
      <c r="D58" s="1">
        <v>23</v>
      </c>
      <c r="E58" s="1">
        <v>1</v>
      </c>
      <c r="F58" s="1">
        <v>2</v>
      </c>
    </row>
    <row r="59" spans="2:6" x14ac:dyDescent="0.2">
      <c r="B59" s="1">
        <v>2023</v>
      </c>
      <c r="C59" s="1" t="s">
        <v>1191</v>
      </c>
      <c r="D59" s="1">
        <v>24</v>
      </c>
      <c r="E59" s="1">
        <v>1</v>
      </c>
      <c r="F59" s="1">
        <v>2</v>
      </c>
    </row>
    <row r="60" spans="2:6" x14ac:dyDescent="0.2">
      <c r="B60" s="1">
        <v>2024</v>
      </c>
      <c r="C60" s="1" t="s">
        <v>1192</v>
      </c>
      <c r="D60" s="1">
        <v>25</v>
      </c>
      <c r="E60" s="1">
        <v>1</v>
      </c>
      <c r="F60" s="1">
        <v>2</v>
      </c>
    </row>
    <row r="61" spans="2:6" x14ac:dyDescent="0.2">
      <c r="B61" s="1">
        <v>2025</v>
      </c>
      <c r="C61" s="1" t="s">
        <v>1193</v>
      </c>
      <c r="D61" s="1">
        <v>26</v>
      </c>
      <c r="E61" s="1">
        <v>1</v>
      </c>
      <c r="F61" s="1">
        <v>2</v>
      </c>
    </row>
    <row r="62" spans="2:6" x14ac:dyDescent="0.2">
      <c r="B62" s="1">
        <v>2026</v>
      </c>
      <c r="C62" s="1" t="s">
        <v>1194</v>
      </c>
      <c r="D62" s="1">
        <v>27</v>
      </c>
      <c r="E62" s="1">
        <v>1</v>
      </c>
      <c r="F62" s="1">
        <v>2</v>
      </c>
    </row>
    <row r="63" spans="2:6" x14ac:dyDescent="0.2">
      <c r="B63" s="1">
        <v>2027</v>
      </c>
      <c r="C63" s="1" t="s">
        <v>1195</v>
      </c>
      <c r="D63" s="1">
        <v>28</v>
      </c>
      <c r="E63" s="1">
        <v>1</v>
      </c>
      <c r="F63" s="1">
        <v>2</v>
      </c>
    </row>
    <row r="64" spans="2:6" x14ac:dyDescent="0.2">
      <c r="B64" s="1">
        <v>2028</v>
      </c>
      <c r="C64" s="1" t="s">
        <v>1196</v>
      </c>
      <c r="D64" s="1">
        <v>29</v>
      </c>
      <c r="E64" s="1">
        <v>1</v>
      </c>
      <c r="F64" s="1">
        <v>2</v>
      </c>
    </row>
    <row r="65" spans="2:6" x14ac:dyDescent="0.2">
      <c r="B65" s="1">
        <v>2029</v>
      </c>
      <c r="C65" s="1" t="s">
        <v>1197</v>
      </c>
      <c r="D65" s="1">
        <v>30</v>
      </c>
      <c r="E65" s="1">
        <v>1</v>
      </c>
      <c r="F65" s="1">
        <v>2</v>
      </c>
    </row>
    <row r="66" spans="2:6" x14ac:dyDescent="0.2">
      <c r="B66" s="1">
        <v>3000</v>
      </c>
      <c r="C66" s="1" t="s">
        <v>1198</v>
      </c>
      <c r="D66" s="1">
        <v>100000000</v>
      </c>
      <c r="E66" s="1">
        <v>1</v>
      </c>
      <c r="F66" s="1">
        <v>3</v>
      </c>
    </row>
  </sheetData>
  <phoneticPr fontId="12" type="noConversion"/>
  <pageMargins left="0.75" right="0.75" top="1" bottom="1" header="0.5" footer="0.5"/>
  <pageSetup paperSize="9" orientation="portrait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000-000000000000}">
  <dimension ref="A1:H11"/>
  <sheetViews>
    <sheetView workbookViewId="0">
      <selection activeCell="I27" sqref="I27"/>
    </sheetView>
  </sheetViews>
  <sheetFormatPr defaultColWidth="9" defaultRowHeight="14.25" x14ac:dyDescent="0.2"/>
  <cols>
    <col min="1" max="2" width="9" style="1"/>
    <col min="3" max="3" width="24" style="1" customWidth="1"/>
    <col min="4" max="4" width="11" style="1" customWidth="1"/>
    <col min="5" max="6" width="11.625" style="1" customWidth="1"/>
    <col min="7" max="7" width="19.125" style="1" customWidth="1"/>
    <col min="8" max="8" width="9" style="1"/>
    <col min="9" max="9" width="10.375" style="1"/>
    <col min="10" max="16384" width="9" style="1"/>
  </cols>
  <sheetData>
    <row r="1" spans="1:8" x14ac:dyDescent="0.2">
      <c r="A1" s="2" t="s">
        <v>0</v>
      </c>
      <c r="B1" s="3" t="s">
        <v>1</v>
      </c>
      <c r="C1" s="3" t="s">
        <v>66</v>
      </c>
      <c r="D1" s="3" t="s">
        <v>794</v>
      </c>
      <c r="E1" s="3" t="s">
        <v>639</v>
      </c>
      <c r="F1" s="3" t="s">
        <v>127</v>
      </c>
      <c r="G1" s="3" t="s">
        <v>33</v>
      </c>
    </row>
    <row r="2" spans="1:8" x14ac:dyDescent="0.2">
      <c r="A2" s="2" t="s">
        <v>0</v>
      </c>
      <c r="B2" s="2"/>
      <c r="C2" s="2"/>
      <c r="D2" s="2"/>
      <c r="E2" s="2"/>
      <c r="F2" s="2"/>
      <c r="G2" s="2"/>
    </row>
    <row r="3" spans="1:8" x14ac:dyDescent="0.2">
      <c r="A3" s="5" t="s">
        <v>6</v>
      </c>
      <c r="B3" s="3" t="s">
        <v>7</v>
      </c>
      <c r="C3" s="3" t="s">
        <v>8</v>
      </c>
      <c r="D3" s="5" t="s">
        <v>7</v>
      </c>
      <c r="E3" s="5" t="s">
        <v>7</v>
      </c>
      <c r="F3" s="5" t="s">
        <v>7</v>
      </c>
      <c r="G3" s="5" t="s">
        <v>7</v>
      </c>
    </row>
    <row r="4" spans="1:8" x14ac:dyDescent="0.2">
      <c r="A4" s="5" t="s">
        <v>9</v>
      </c>
      <c r="B4" s="5"/>
      <c r="C4" s="5"/>
      <c r="D4" s="5"/>
      <c r="E4" s="5"/>
      <c r="F4" s="5"/>
      <c r="G4" s="5"/>
    </row>
    <row r="5" spans="1:8" x14ac:dyDescent="0.2">
      <c r="A5" s="2" t="s">
        <v>10</v>
      </c>
      <c r="B5" s="1" t="s">
        <v>412</v>
      </c>
      <c r="C5" s="1" t="s">
        <v>640</v>
      </c>
      <c r="D5" s="1" t="s">
        <v>1199</v>
      </c>
      <c r="E5" s="1" t="s">
        <v>1200</v>
      </c>
      <c r="F5" s="1" t="s">
        <v>1085</v>
      </c>
      <c r="G5" s="1" t="s">
        <v>1201</v>
      </c>
      <c r="H5" s="1" t="s">
        <v>1202</v>
      </c>
    </row>
    <row r="6" spans="1:8" x14ac:dyDescent="0.2">
      <c r="B6" s="1">
        <v>8000</v>
      </c>
      <c r="C6" s="13" t="s">
        <v>739</v>
      </c>
      <c r="D6" s="13">
        <v>3</v>
      </c>
      <c r="E6" s="1">
        <f t="shared" ref="E6:E11" si="0">F6*100000*0.7</f>
        <v>2100000</v>
      </c>
      <c r="F6" s="1">
        <v>30</v>
      </c>
      <c r="G6" s="13">
        <v>0</v>
      </c>
      <c r="H6" s="1">
        <v>70</v>
      </c>
    </row>
    <row r="7" spans="1:8" x14ac:dyDescent="0.2">
      <c r="B7" s="1">
        <v>8001</v>
      </c>
      <c r="C7" s="13" t="s">
        <v>740</v>
      </c>
      <c r="D7" s="13">
        <v>10</v>
      </c>
      <c r="E7" s="1">
        <f t="shared" si="0"/>
        <v>6860000</v>
      </c>
      <c r="F7" s="1">
        <v>98</v>
      </c>
      <c r="G7" s="13">
        <v>0</v>
      </c>
      <c r="H7" s="1">
        <v>70</v>
      </c>
    </row>
    <row r="8" spans="1:8" x14ac:dyDescent="0.2">
      <c r="B8" s="1">
        <v>8002</v>
      </c>
      <c r="C8" s="13" t="s">
        <v>741</v>
      </c>
      <c r="D8" s="1">
        <v>20</v>
      </c>
      <c r="E8" s="1">
        <f t="shared" si="0"/>
        <v>13860000</v>
      </c>
      <c r="F8" s="1">
        <v>198</v>
      </c>
      <c r="G8" s="13">
        <v>0</v>
      </c>
      <c r="H8" s="1">
        <v>70</v>
      </c>
    </row>
    <row r="9" spans="1:8" x14ac:dyDescent="0.2">
      <c r="B9" s="1">
        <v>8003</v>
      </c>
      <c r="C9" s="13" t="s">
        <v>742</v>
      </c>
      <c r="D9" s="1">
        <v>33</v>
      </c>
      <c r="E9" s="1">
        <f t="shared" si="0"/>
        <v>22960000</v>
      </c>
      <c r="F9" s="1">
        <v>328</v>
      </c>
      <c r="G9" s="13">
        <v>0</v>
      </c>
      <c r="H9" s="1">
        <v>70</v>
      </c>
    </row>
    <row r="10" spans="1:8" x14ac:dyDescent="0.2">
      <c r="B10" s="1">
        <v>8004</v>
      </c>
      <c r="C10" s="13" t="s">
        <v>743</v>
      </c>
      <c r="D10" s="1">
        <v>65</v>
      </c>
      <c r="E10" s="1">
        <f t="shared" si="0"/>
        <v>45360000</v>
      </c>
      <c r="F10" s="1">
        <v>648</v>
      </c>
      <c r="G10" s="13">
        <v>0</v>
      </c>
      <c r="H10" s="1">
        <v>70</v>
      </c>
    </row>
    <row r="11" spans="1:8" x14ac:dyDescent="0.2">
      <c r="B11" s="1">
        <v>8005</v>
      </c>
      <c r="C11" s="13" t="s">
        <v>744</v>
      </c>
      <c r="D11" s="1">
        <v>130</v>
      </c>
      <c r="E11" s="1">
        <f t="shared" si="0"/>
        <v>90720000</v>
      </c>
      <c r="F11" s="1">
        <v>1296</v>
      </c>
      <c r="G11" s="13">
        <v>0</v>
      </c>
      <c r="H11" s="1">
        <v>70</v>
      </c>
    </row>
  </sheetData>
  <phoneticPr fontId="12" type="noConversion"/>
  <pageMargins left="0.75" right="0.75" top="1" bottom="1" header="0.5" footer="0.5"/>
  <pageSetup paperSize="9" orientation="portrait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100-000000000000}">
  <dimension ref="A1:K13"/>
  <sheetViews>
    <sheetView workbookViewId="0">
      <selection activeCell="J17" sqref="J17"/>
    </sheetView>
  </sheetViews>
  <sheetFormatPr defaultColWidth="9" defaultRowHeight="14.25" x14ac:dyDescent="0.2"/>
  <cols>
    <col min="1" max="2" width="9" style="1"/>
    <col min="3" max="3" width="12.75" style="1" customWidth="1"/>
    <col min="4" max="4" width="9" style="1"/>
    <col min="5" max="5" width="13.125" style="1" customWidth="1"/>
    <col min="6" max="7" width="24.5" style="1" customWidth="1"/>
    <col min="8" max="10" width="14" style="1" customWidth="1"/>
    <col min="11" max="16384" width="9" style="1"/>
  </cols>
  <sheetData>
    <row r="1" spans="1:11" x14ac:dyDescent="0.2">
      <c r="A1" s="2" t="s">
        <v>0</v>
      </c>
      <c r="B1" s="2" t="s">
        <v>1</v>
      </c>
      <c r="C1" s="2" t="s">
        <v>31</v>
      </c>
      <c r="D1" s="2" t="s">
        <v>32</v>
      </c>
      <c r="E1" s="2" t="s">
        <v>1051</v>
      </c>
      <c r="F1" s="2" t="s">
        <v>1203</v>
      </c>
      <c r="G1" s="2" t="s">
        <v>1204</v>
      </c>
      <c r="H1" s="2" t="s">
        <v>34</v>
      </c>
      <c r="I1" s="7" t="s">
        <v>1205</v>
      </c>
      <c r="J1" s="83" t="s">
        <v>1249</v>
      </c>
    </row>
    <row r="2" spans="1:11" x14ac:dyDescent="0.2">
      <c r="A2" s="2" t="s">
        <v>0</v>
      </c>
      <c r="B2" s="2"/>
      <c r="C2" s="2"/>
      <c r="D2" s="2"/>
      <c r="E2" s="2"/>
      <c r="F2" s="2"/>
      <c r="G2" s="2"/>
      <c r="H2" s="2"/>
      <c r="I2" s="7"/>
      <c r="J2" s="8"/>
    </row>
    <row r="3" spans="1:11" x14ac:dyDescent="0.2">
      <c r="A3" s="5" t="s">
        <v>6</v>
      </c>
      <c r="B3" s="5" t="s">
        <v>7</v>
      </c>
      <c r="C3" s="5" t="s">
        <v>7</v>
      </c>
      <c r="D3" s="5" t="s">
        <v>7</v>
      </c>
      <c r="E3" s="5" t="s">
        <v>7</v>
      </c>
      <c r="F3" s="5" t="s">
        <v>7</v>
      </c>
      <c r="G3" s="5" t="s">
        <v>1206</v>
      </c>
      <c r="H3" s="5" t="s">
        <v>7</v>
      </c>
      <c r="I3" s="9" t="s">
        <v>7</v>
      </c>
      <c r="J3" s="10" t="s">
        <v>7</v>
      </c>
    </row>
    <row r="4" spans="1:11" x14ac:dyDescent="0.2">
      <c r="A4" s="5" t="s">
        <v>9</v>
      </c>
      <c r="B4" s="5"/>
      <c r="C4" s="5"/>
      <c r="D4" s="5"/>
      <c r="E4" s="5"/>
      <c r="F4" s="5"/>
      <c r="G4" s="5"/>
      <c r="H4" s="5"/>
      <c r="I4" s="9"/>
      <c r="J4" s="10"/>
    </row>
    <row r="5" spans="1:11" x14ac:dyDescent="0.2">
      <c r="A5" s="2" t="s">
        <v>10</v>
      </c>
      <c r="B5" s="2" t="s">
        <v>953</v>
      </c>
      <c r="C5" s="2" t="s">
        <v>36</v>
      </c>
      <c r="D5" s="2" t="s">
        <v>1207</v>
      </c>
      <c r="E5" s="2" t="s">
        <v>1208</v>
      </c>
      <c r="F5" s="2" t="s">
        <v>1209</v>
      </c>
      <c r="G5" s="2" t="s">
        <v>1210</v>
      </c>
      <c r="H5" s="2" t="s">
        <v>666</v>
      </c>
      <c r="I5" s="7" t="s">
        <v>1211</v>
      </c>
      <c r="J5" s="8" t="s">
        <v>1212</v>
      </c>
    </row>
    <row r="6" spans="1:11" x14ac:dyDescent="0.2">
      <c r="A6" s="11"/>
      <c r="B6" s="11">
        <v>10000</v>
      </c>
      <c r="C6" s="11">
        <v>10002</v>
      </c>
      <c r="D6" s="11">
        <v>25000</v>
      </c>
      <c r="E6" s="11">
        <v>0</v>
      </c>
      <c r="F6" s="11">
        <v>1</v>
      </c>
      <c r="G6" s="11">
        <v>7</v>
      </c>
      <c r="H6" s="11">
        <v>40</v>
      </c>
      <c r="I6" s="11">
        <v>1</v>
      </c>
      <c r="J6" s="11">
        <v>0</v>
      </c>
      <c r="K6" s="1">
        <f>D6*H6/100</f>
        <v>10000</v>
      </c>
    </row>
    <row r="7" spans="1:11" x14ac:dyDescent="0.2">
      <c r="A7" s="11"/>
      <c r="B7" s="11">
        <v>10001</v>
      </c>
      <c r="C7" s="11">
        <v>10002</v>
      </c>
      <c r="D7" s="11">
        <v>200000</v>
      </c>
      <c r="E7" s="11">
        <v>0</v>
      </c>
      <c r="F7" s="11">
        <v>1</v>
      </c>
      <c r="G7" s="11">
        <v>2</v>
      </c>
      <c r="H7" s="11">
        <v>20</v>
      </c>
      <c r="I7" s="11">
        <v>2</v>
      </c>
      <c r="J7" s="11">
        <v>0</v>
      </c>
      <c r="K7" s="1">
        <f>D7*H7/100</f>
        <v>40000</v>
      </c>
    </row>
    <row r="8" spans="1:11" x14ac:dyDescent="0.2">
      <c r="A8" s="11"/>
      <c r="B8" s="11">
        <v>10002</v>
      </c>
      <c r="C8" s="11">
        <v>10000</v>
      </c>
      <c r="D8" s="11">
        <v>200</v>
      </c>
      <c r="E8" s="11">
        <v>0</v>
      </c>
      <c r="F8" s="11">
        <v>1</v>
      </c>
      <c r="G8" s="11">
        <v>3</v>
      </c>
      <c r="H8" s="11">
        <v>20</v>
      </c>
      <c r="I8" s="11">
        <v>3</v>
      </c>
      <c r="J8" s="11">
        <v>0</v>
      </c>
      <c r="K8" s="12">
        <v>20000</v>
      </c>
    </row>
    <row r="9" spans="1:11" x14ac:dyDescent="0.2">
      <c r="A9" s="11"/>
      <c r="B9" s="11">
        <v>10003</v>
      </c>
      <c r="C9" s="11">
        <v>2001</v>
      </c>
      <c r="D9" s="11">
        <v>6</v>
      </c>
      <c r="E9" s="11">
        <v>0</v>
      </c>
      <c r="F9" s="11">
        <v>1</v>
      </c>
      <c r="G9" s="11">
        <v>8</v>
      </c>
      <c r="H9" s="11">
        <v>10</v>
      </c>
      <c r="I9" s="11">
        <v>4</v>
      </c>
      <c r="J9" s="11">
        <v>0</v>
      </c>
    </row>
    <row r="10" spans="1:11" x14ac:dyDescent="0.2">
      <c r="A10" s="11"/>
      <c r="B10" s="11">
        <v>10004</v>
      </c>
      <c r="C10" s="11">
        <v>10002</v>
      </c>
      <c r="D10" s="11">
        <v>300000</v>
      </c>
      <c r="E10" s="11">
        <v>0</v>
      </c>
      <c r="F10" s="11">
        <v>1</v>
      </c>
      <c r="G10" s="11">
        <v>5</v>
      </c>
      <c r="H10" s="11">
        <v>10</v>
      </c>
      <c r="I10" s="11">
        <v>5</v>
      </c>
      <c r="J10" s="11">
        <v>0</v>
      </c>
      <c r="K10" s="1">
        <f>D10*H10/100</f>
        <v>30000</v>
      </c>
    </row>
    <row r="11" spans="1:11" x14ac:dyDescent="0.2">
      <c r="A11" s="11"/>
      <c r="B11" s="11">
        <v>10005</v>
      </c>
      <c r="C11" s="11">
        <v>991</v>
      </c>
      <c r="D11" s="11">
        <v>1</v>
      </c>
      <c r="E11" s="11">
        <v>3350</v>
      </c>
      <c r="F11" s="11">
        <v>0</v>
      </c>
      <c r="G11" s="11">
        <v>1</v>
      </c>
      <c r="H11" s="11">
        <v>0</v>
      </c>
      <c r="I11" s="11">
        <v>6</v>
      </c>
      <c r="J11" s="11">
        <v>1000</v>
      </c>
    </row>
    <row r="12" spans="1:11" x14ac:dyDescent="0.2">
      <c r="A12" s="11"/>
      <c r="B12" s="11">
        <v>10006</v>
      </c>
      <c r="C12" s="11">
        <v>992</v>
      </c>
      <c r="D12" s="11">
        <v>1</v>
      </c>
      <c r="E12" s="11">
        <v>3350</v>
      </c>
      <c r="F12" s="11">
        <v>0</v>
      </c>
      <c r="G12" s="11">
        <v>6</v>
      </c>
      <c r="H12" s="11">
        <v>0</v>
      </c>
      <c r="I12" s="11">
        <v>7</v>
      </c>
      <c r="J12" s="11">
        <v>3000</v>
      </c>
    </row>
    <row r="13" spans="1:11" x14ac:dyDescent="0.2">
      <c r="A13" s="11"/>
      <c r="B13" s="11">
        <v>10007</v>
      </c>
      <c r="C13" s="11">
        <v>993</v>
      </c>
      <c r="D13" s="11">
        <v>1</v>
      </c>
      <c r="E13" s="11">
        <v>3350</v>
      </c>
      <c r="F13" s="11">
        <v>0</v>
      </c>
      <c r="G13" s="11">
        <v>4</v>
      </c>
      <c r="H13" s="11">
        <v>0</v>
      </c>
      <c r="I13" s="11">
        <v>8</v>
      </c>
      <c r="J13" s="11">
        <v>6000</v>
      </c>
    </row>
  </sheetData>
  <phoneticPr fontId="12" type="noConversion"/>
  <conditionalFormatting sqref="A1:E5 H1:J5">
    <cfRule type="duplicateValues" dxfId="1" priority="2"/>
  </conditionalFormatting>
  <conditionalFormatting sqref="F1:G5">
    <cfRule type="duplicateValues" dxfId="0" priority="1"/>
  </conditionalFormatting>
  <pageMargins left="0.75" right="0.75" top="1" bottom="1" header="0.5" footer="0.5"/>
  <pageSetup paperSize="9" orientation="portrait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200-000000000000}">
  <dimension ref="A1:K12"/>
  <sheetViews>
    <sheetView workbookViewId="0">
      <selection activeCell="G17" sqref="G17"/>
    </sheetView>
  </sheetViews>
  <sheetFormatPr defaultColWidth="9" defaultRowHeight="14.25" x14ac:dyDescent="0.2"/>
  <cols>
    <col min="1" max="1" width="9" style="1"/>
    <col min="2" max="3" width="13.625" style="1" customWidth="1"/>
    <col min="4" max="4" width="13.875" style="1" customWidth="1"/>
    <col min="5" max="5" width="14.125" style="1" customWidth="1"/>
    <col min="6" max="8" width="15.375" style="1" customWidth="1"/>
    <col min="9" max="10" width="23.375" style="1" customWidth="1"/>
    <col min="11" max="16384" width="9" style="1"/>
  </cols>
  <sheetData>
    <row r="1" spans="1:11" x14ac:dyDescent="0.2">
      <c r="A1" s="2" t="s">
        <v>0</v>
      </c>
      <c r="B1" s="3" t="s">
        <v>1</v>
      </c>
      <c r="C1" s="3" t="s">
        <v>52</v>
      </c>
      <c r="D1" s="4" t="s">
        <v>66</v>
      </c>
      <c r="E1" s="4" t="s">
        <v>204</v>
      </c>
      <c r="F1" s="4" t="s">
        <v>1213</v>
      </c>
      <c r="G1" s="4" t="s">
        <v>1214</v>
      </c>
      <c r="H1" s="4" t="s">
        <v>1215</v>
      </c>
      <c r="I1" s="3" t="s">
        <v>1216</v>
      </c>
      <c r="J1" s="3" t="s">
        <v>167</v>
      </c>
    </row>
    <row r="2" spans="1:11" x14ac:dyDescent="0.2">
      <c r="A2" s="2" t="s">
        <v>0</v>
      </c>
      <c r="B2" s="2"/>
      <c r="C2" s="2"/>
      <c r="D2" s="2"/>
      <c r="E2" s="2"/>
      <c r="F2" s="2"/>
      <c r="G2" s="2"/>
      <c r="H2" s="2"/>
      <c r="I2" s="2"/>
      <c r="J2" s="2"/>
    </row>
    <row r="3" spans="1:11" x14ac:dyDescent="0.2">
      <c r="A3" s="5" t="s">
        <v>6</v>
      </c>
      <c r="B3" s="3" t="s">
        <v>7</v>
      </c>
      <c r="C3" s="3" t="s">
        <v>7</v>
      </c>
      <c r="D3" s="3" t="s">
        <v>8</v>
      </c>
      <c r="E3" s="4" t="s">
        <v>7</v>
      </c>
      <c r="F3" s="3" t="s">
        <v>7</v>
      </c>
      <c r="G3" s="3" t="s">
        <v>7</v>
      </c>
      <c r="H3" s="3" t="s">
        <v>7</v>
      </c>
      <c r="I3" s="3" t="s">
        <v>7</v>
      </c>
      <c r="J3" s="3" t="s">
        <v>8</v>
      </c>
    </row>
    <row r="4" spans="1:11" x14ac:dyDescent="0.2">
      <c r="A4" s="5" t="s">
        <v>9</v>
      </c>
      <c r="B4" s="5"/>
      <c r="C4" s="5"/>
      <c r="D4" s="5"/>
      <c r="E4" s="5"/>
      <c r="F4" s="5"/>
      <c r="G4" s="5"/>
      <c r="H4" s="5"/>
      <c r="I4" s="5"/>
      <c r="J4" s="5"/>
    </row>
    <row r="5" spans="1:11" x14ac:dyDescent="0.2">
      <c r="A5" s="2" t="s">
        <v>10</v>
      </c>
      <c r="B5" s="1" t="s">
        <v>1217</v>
      </c>
      <c r="C5" s="1" t="s">
        <v>1218</v>
      </c>
      <c r="D5" s="1" t="s">
        <v>1219</v>
      </c>
      <c r="E5" s="1" t="s">
        <v>209</v>
      </c>
      <c r="F5" s="1" t="s">
        <v>1220</v>
      </c>
      <c r="G5" s="1" t="s">
        <v>1221</v>
      </c>
      <c r="H5" s="1" t="s">
        <v>1222</v>
      </c>
      <c r="I5" s="1" t="s">
        <v>1223</v>
      </c>
      <c r="J5" s="1" t="s">
        <v>1224</v>
      </c>
      <c r="K5" s="1" t="s">
        <v>1225</v>
      </c>
    </row>
    <row r="6" spans="1:11" x14ac:dyDescent="0.2">
      <c r="B6" s="1">
        <v>100</v>
      </c>
      <c r="C6" s="1">
        <v>1</v>
      </c>
      <c r="D6" s="1" t="s">
        <v>1226</v>
      </c>
      <c r="E6" s="6" t="s">
        <v>1227</v>
      </c>
      <c r="F6" s="1">
        <v>500</v>
      </c>
      <c r="G6" s="1">
        <v>40</v>
      </c>
      <c r="H6" s="1">
        <v>50</v>
      </c>
      <c r="I6" s="1">
        <v>0</v>
      </c>
      <c r="J6" s="1" t="s">
        <v>1228</v>
      </c>
      <c r="K6" s="1" t="s">
        <v>1229</v>
      </c>
    </row>
    <row r="7" spans="1:11" x14ac:dyDescent="0.2">
      <c r="B7" s="1">
        <v>101</v>
      </c>
      <c r="C7" s="1">
        <v>2</v>
      </c>
      <c r="D7" s="1" t="s">
        <v>201</v>
      </c>
      <c r="E7" s="6" t="s">
        <v>1230</v>
      </c>
      <c r="F7" s="1">
        <v>700</v>
      </c>
      <c r="G7" s="1">
        <v>45</v>
      </c>
      <c r="H7" s="1">
        <v>100</v>
      </c>
      <c r="I7" s="1">
        <v>1</v>
      </c>
      <c r="J7" s="1" t="s">
        <v>1231</v>
      </c>
      <c r="K7" s="1" t="s">
        <v>1232</v>
      </c>
    </row>
    <row r="8" spans="1:11" x14ac:dyDescent="0.2">
      <c r="B8" s="1">
        <v>102</v>
      </c>
      <c r="C8" s="1">
        <v>2</v>
      </c>
      <c r="D8" s="1" t="s">
        <v>1233</v>
      </c>
      <c r="E8" s="6" t="s">
        <v>1234</v>
      </c>
      <c r="F8" s="1">
        <v>800</v>
      </c>
      <c r="G8" s="1">
        <v>45</v>
      </c>
      <c r="H8" s="1">
        <f>H7+20</f>
        <v>120</v>
      </c>
      <c r="I8" s="1">
        <v>3</v>
      </c>
      <c r="J8" s="1" t="s">
        <v>1235</v>
      </c>
      <c r="K8" s="1" t="s">
        <v>1236</v>
      </c>
    </row>
    <row r="9" spans="1:11" x14ac:dyDescent="0.2">
      <c r="B9" s="1">
        <v>103</v>
      </c>
      <c r="C9" s="1">
        <v>2</v>
      </c>
      <c r="D9" s="1" t="s">
        <v>1237</v>
      </c>
      <c r="E9" s="1">
        <v>130</v>
      </c>
      <c r="F9" s="1">
        <v>825</v>
      </c>
      <c r="G9" s="1">
        <v>45</v>
      </c>
      <c r="H9" s="1">
        <f>H8+20</f>
        <v>140</v>
      </c>
      <c r="I9" s="1">
        <v>5</v>
      </c>
      <c r="J9" s="1" t="s">
        <v>1238</v>
      </c>
      <c r="K9" s="1" t="s">
        <v>1239</v>
      </c>
    </row>
    <row r="10" spans="1:11" x14ac:dyDescent="0.2">
      <c r="B10" s="1">
        <v>104</v>
      </c>
      <c r="C10" s="1">
        <v>2</v>
      </c>
      <c r="D10" s="1" t="s">
        <v>1240</v>
      </c>
      <c r="E10" s="1">
        <v>135</v>
      </c>
      <c r="F10" s="1">
        <v>850</v>
      </c>
      <c r="G10" s="1">
        <v>45</v>
      </c>
      <c r="H10" s="1">
        <f>H9+20</f>
        <v>160</v>
      </c>
      <c r="I10" s="1">
        <v>6</v>
      </c>
      <c r="J10" s="1" t="s">
        <v>1241</v>
      </c>
      <c r="K10" s="1" t="s">
        <v>1242</v>
      </c>
    </row>
    <row r="11" spans="1:11" x14ac:dyDescent="0.2">
      <c r="B11" s="1">
        <v>105</v>
      </c>
      <c r="C11" s="1">
        <v>3</v>
      </c>
      <c r="D11" s="1" t="s">
        <v>1243</v>
      </c>
      <c r="E11" s="1">
        <v>150</v>
      </c>
      <c r="F11" s="1">
        <v>1000</v>
      </c>
      <c r="G11" s="1">
        <v>50</v>
      </c>
      <c r="H11" s="1">
        <v>180</v>
      </c>
      <c r="I11" s="1">
        <v>7</v>
      </c>
      <c r="J11" s="1" t="s">
        <v>1244</v>
      </c>
      <c r="K11" s="1" t="s">
        <v>1245</v>
      </c>
    </row>
    <row r="12" spans="1:11" x14ac:dyDescent="0.2">
      <c r="B12" s="1">
        <v>106</v>
      </c>
      <c r="C12" s="1">
        <v>3</v>
      </c>
      <c r="D12" s="1" t="s">
        <v>1246</v>
      </c>
      <c r="E12" s="1">
        <v>180</v>
      </c>
      <c r="F12" s="1">
        <v>1200</v>
      </c>
      <c r="G12" s="1">
        <v>50</v>
      </c>
      <c r="H12" s="1">
        <v>200</v>
      </c>
      <c r="I12" s="1">
        <v>8</v>
      </c>
      <c r="J12" s="1" t="s">
        <v>1247</v>
      </c>
      <c r="K12" s="1" t="s">
        <v>1248</v>
      </c>
    </row>
  </sheetData>
  <phoneticPr fontId="12" type="noConversion"/>
  <pageMargins left="0.75" right="0.75" top="1" bottom="1" header="0.5" footer="0.5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67</vt:i4>
      </vt:variant>
    </vt:vector>
  </HeadingPairs>
  <TitlesOfParts>
    <vt:vector size="67" baseType="lpstr">
      <vt:lpstr>Vip</vt:lpstr>
      <vt:lpstr>Turntable</vt:lpstr>
      <vt:lpstr>Talent</vt:lpstr>
      <vt:lpstr>TalentSkill</vt:lpstr>
      <vt:lpstr>Shop</vt:lpstr>
      <vt:lpstr>Session</vt:lpstr>
      <vt:lpstr>PushFunctionalitySetting</vt:lpstr>
      <vt:lpstr>PerDayGiftPack</vt:lpstr>
      <vt:lpstr>Level</vt:lpstr>
      <vt:lpstr>Items</vt:lpstr>
      <vt:lpstr>Hero</vt:lpstr>
      <vt:lpstr>FirstReward</vt:lpstr>
      <vt:lpstr>Extra</vt:lpstr>
      <vt:lpstr>EquipmentLevel</vt:lpstr>
      <vt:lpstr>EndlessMode</vt:lpstr>
      <vt:lpstr>DailyLogin</vt:lpstr>
      <vt:lpstr>DailyCheckIn</vt:lpstr>
      <vt:lpstr>Task</vt:lpstr>
      <vt:lpstr>MonthlyPass</vt:lpstr>
      <vt:lpstr>LevelMode</vt:lpstr>
      <vt:lpstr>Matrix</vt:lpstr>
      <vt:lpstr>Correct</vt:lpstr>
      <vt:lpstr>Juhuasuan</vt:lpstr>
      <vt:lpstr>HighlyProfitable</vt:lpstr>
      <vt:lpstr>ActiveTask</vt:lpstr>
      <vt:lpstr>FormationPack</vt:lpstr>
      <vt:lpstr>MagicCircle</vt:lpstr>
      <vt:lpstr>LevelMissions</vt:lpstr>
      <vt:lpstr>StarterPack</vt:lpstr>
      <vt:lpstr>Serername</vt:lpstr>
      <vt:lpstr>Session2</vt:lpstr>
      <vt:lpstr>Session3</vt:lpstr>
      <vt:lpstr>RechargeGoodsInfo</vt:lpstr>
      <vt:lpstr>InventoryBuff</vt:lpstr>
      <vt:lpstr>EnhancementPacks</vt:lpstr>
      <vt:lpstr>Leaderboard</vt:lpstr>
      <vt:lpstr>HeroHead</vt:lpstr>
      <vt:lpstr>FortunePack</vt:lpstr>
      <vt:lpstr>BehavioralStatistics</vt:lpstr>
      <vt:lpstr>RechargeBuff</vt:lpstr>
      <vt:lpstr>Random</vt:lpstr>
      <vt:lpstr>Beginner</vt:lpstr>
      <vt:lpstr>RechargeLimit</vt:lpstr>
      <vt:lpstr>VipGift</vt:lpstr>
      <vt:lpstr>Materidl</vt:lpstr>
      <vt:lpstr>BossReward</vt:lpstr>
      <vt:lpstr>DragonTreasure</vt:lpstr>
      <vt:lpstr>Accumulation</vt:lpstr>
      <vt:lpstr>PinnacleList</vt:lpstr>
      <vt:lpstr>CoPurPacks</vt:lpstr>
      <vt:lpstr>ExchangeMissions</vt:lpstr>
      <vt:lpstr>EggRewards</vt:lpstr>
      <vt:lpstr>EggPrice</vt:lpstr>
      <vt:lpstr>LuckyDrawing</vt:lpstr>
      <vt:lpstr>BountyRanking</vt:lpstr>
      <vt:lpstr>ZeroDollarPurchase</vt:lpstr>
      <vt:lpstr>MhGift</vt:lpstr>
      <vt:lpstr>MhPrize</vt:lpstr>
      <vt:lpstr>Mhlist</vt:lpstr>
      <vt:lpstr>Exterminate</vt:lpstr>
      <vt:lpstr>GreatGift</vt:lpstr>
      <vt:lpstr>GreatGiftProbability</vt:lpstr>
      <vt:lpstr>PiggyBank</vt:lpstr>
      <vt:lpstr>Zptask</vt:lpstr>
      <vt:lpstr>Zpgift</vt:lpstr>
      <vt:lpstr>Zpreward</vt:lpstr>
      <vt:lpstr>Tank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Administrator</cp:lastModifiedBy>
  <dcterms:created xsi:type="dcterms:W3CDTF">2015-06-05T18:19:00Z</dcterms:created>
  <dcterms:modified xsi:type="dcterms:W3CDTF">2026-03-12T07:33:15Z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B5FB5116B50E4202A0D5185C058D7859_12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